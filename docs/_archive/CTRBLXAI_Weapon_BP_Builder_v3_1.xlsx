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3"/>
  <workbookPr defaultThemeVersion="124226"/>
  <xr:revisionPtr revIDLastSave="0" documentId="8_{1BB74C08-FF7D-47D4-9F82-96E051445CC8}" xr6:coauthVersionLast="47" xr6:coauthVersionMax="47" xr10:uidLastSave="{00000000-0000-0000-0000-000000000000}"/>
  <bookViews>
    <workbookView xWindow="240" yWindow="15" windowWidth="16095" windowHeight="9660" firstSheet="3" activeTab="3" xr2:uid="{00000000-000D-0000-FFFF-FFFF00000000}"/>
  </bookViews>
  <sheets>
    <sheet name="Read Me" sheetId="1" r:id="rId1"/>
    <sheet name="BP Controls" sheetId="2" r:id="rId2"/>
    <sheet name="Archetypes" sheetId="3" r:id="rId3"/>
    <sheet name="Weapon Builder" sheetId="4" r:id="rId4"/>
    <sheet name="Stress Tests" sheetId="5" r:id="rId5"/>
    <sheet name="Validation" sheetId="6" r:id="rId6"/>
  </sheets>
  <definedNames>
    <definedName name="AttackCoeff">'BP Controls'!$B$6</definedName>
    <definedName name="AttackExp">'BP Controls'!$B$7</definedName>
    <definedName name="DefCoeff">'BP Controls'!$B$13</definedName>
    <definedName name="DefExp">'BP Controls'!$B$14</definedName>
    <definedName name="DelayCoeff">'BP Controls'!$B$15</definedName>
    <definedName name="DelayExp">'BP Controls'!$B$16</definedName>
    <definedName name="ExpectedAttacks">'BP Controls'!$B$28</definedName>
    <definedName name="HighCap">'BP Controls'!$B$9</definedName>
    <definedName name="HighDecay">'BP Controls'!$B$10</definedName>
    <definedName name="HighThreshold">'BP Controls'!$B$8</definedName>
    <definedName name="MinRefundCap">'BP Controls'!$B$23</definedName>
    <definedName name="MinRefundCoeff">'BP Controls'!$B$22</definedName>
    <definedName name="NegDelayFloor">'BP Controls'!$B$17</definedName>
    <definedName name="NegDelayRefund">'BP Controls'!$B$18</definedName>
    <definedName name="OneHBP">'BP Controls'!$B$5</definedName>
    <definedName name="PassiveBPTable">'BP Controls'!$A$51:$C$78</definedName>
    <definedName name="PassiveNames">'BP Controls'!$A$51:$A$67</definedName>
    <definedName name="PatternBPTable">'BP Controls'!$A$44:$D$47</definedName>
    <definedName name="PatternCoeff">'BP Controls'!$B$24</definedName>
    <definedName name="PatternExp">'BP Controls'!$B$25</definedName>
    <definedName name="PatternNames">'BP Controls'!$A$44:$A$47</definedName>
    <definedName name="RangeBase">'BP Controls'!$B$19</definedName>
    <definedName name="RangeCoeff">'BP Controls'!$B$20</definedName>
    <definedName name="RangeExp">'BP Controls'!$B$21</definedName>
    <definedName name="RangeTable">'BP Controls'!$A$33:$C$40</definedName>
    <definedName name="TargetBP">'BP Controls'!$B$4</definedName>
    <definedName name="TempoCap">'BP Controls'!$B$27</definedName>
    <definedName name="TempoFactor">'BP Controls'!$B$26</definedName>
    <definedName name="WTCoeff">'BP Controls'!$B$11</definedName>
    <definedName name="WTExp">'BP Controls'!$B$12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5" l="1"/>
  <c r="E23" i="4"/>
  <c r="E12" i="4"/>
  <c r="H18" i="4"/>
  <c r="E6" i="4"/>
  <c r="B31" i="5"/>
  <c r="B30" i="5"/>
  <c r="E22" i="4"/>
  <c r="H21" i="4"/>
  <c r="H20" i="4"/>
  <c r="E10" i="4"/>
  <c r="B29" i="5"/>
  <c r="B21" i="5"/>
  <c r="B20" i="5"/>
  <c r="B19" i="5"/>
  <c r="B18" i="5"/>
  <c r="B17" i="5"/>
  <c r="B11" i="5"/>
  <c r="C11" i="5" s="1"/>
  <c r="B10" i="5"/>
  <c r="C10" i="5" s="1"/>
  <c r="B9" i="5"/>
  <c r="C9" i="5" s="1"/>
  <c r="B8" i="5"/>
  <c r="C8" i="5" s="1"/>
  <c r="B7" i="5"/>
  <c r="C7" i="5" s="1"/>
  <c r="B6" i="5"/>
  <c r="C6" i="5" s="1"/>
  <c r="B5" i="5"/>
  <c r="C5" i="5" s="1"/>
  <c r="B4" i="5"/>
  <c r="C4" i="5" s="1"/>
  <c r="E21" i="4"/>
  <c r="E20" i="4"/>
  <c r="H14" i="4"/>
  <c r="H15" i="4" s="1"/>
  <c r="E9" i="4"/>
  <c r="H8" i="4"/>
  <c r="E8" i="4"/>
  <c r="H7" i="4"/>
  <c r="H5" i="4"/>
  <c r="H6" i="4" s="1"/>
  <c r="H4" i="4"/>
  <c r="E4" i="4"/>
  <c r="D47" i="2"/>
  <c r="D46" i="2"/>
  <c r="D45" i="2"/>
  <c r="D44" i="2"/>
  <c r="E11" i="4" s="1"/>
  <c r="B40" i="2"/>
  <c r="B39" i="2"/>
  <c r="B38" i="2"/>
  <c r="B37" i="2"/>
  <c r="B36" i="2"/>
  <c r="B35" i="2"/>
  <c r="B34" i="2"/>
  <c r="B33" i="2"/>
  <c r="C17" i="5" l="1"/>
  <c r="F17" i="5" s="1"/>
  <c r="C18" i="5"/>
  <c r="F18" i="5" s="1"/>
  <c r="C19" i="5"/>
  <c r="F19" i="5" s="1"/>
  <c r="C20" i="5"/>
  <c r="F20" i="5" s="1"/>
  <c r="C21" i="5"/>
  <c r="F21" i="5" s="1"/>
  <c r="B27" i="5"/>
  <c r="B26" i="5"/>
  <c r="H10" i="4"/>
  <c r="H12" i="4" s="1"/>
  <c r="H9" i="4"/>
  <c r="H16" i="4"/>
  <c r="D4" i="5"/>
  <c r="D5" i="5"/>
  <c r="D6" i="5"/>
  <c r="D7" i="5"/>
  <c r="D8" i="5"/>
  <c r="D9" i="5"/>
  <c r="D10" i="5"/>
  <c r="D11" i="5"/>
  <c r="E17" i="5"/>
  <c r="E18" i="5"/>
  <c r="E19" i="5"/>
  <c r="E20" i="5"/>
  <c r="E21" i="5"/>
  <c r="H21" i="5" l="1"/>
  <c r="H20" i="5"/>
  <c r="H19" i="5"/>
  <c r="H18" i="5"/>
  <c r="H17" i="5"/>
  <c r="D21" i="5"/>
  <c r="G21" i="5" s="1"/>
  <c r="D20" i="5"/>
  <c r="G20" i="5" s="1"/>
  <c r="D19" i="5"/>
  <c r="G19" i="5" s="1"/>
  <c r="D18" i="5"/>
  <c r="G18" i="5" s="1"/>
  <c r="D17" i="5"/>
  <c r="G17" i="5" s="1"/>
  <c r="F11" i="5"/>
  <c r="F10" i="5"/>
  <c r="F9" i="5"/>
  <c r="F8" i="5"/>
  <c r="F7" i="5"/>
  <c r="F6" i="5"/>
  <c r="F5" i="5"/>
  <c r="F4" i="5"/>
  <c r="H17" i="4"/>
  <c r="H13" i="4"/>
  <c r="E7" i="4" s="1"/>
  <c r="H11" i="4"/>
  <c r="G11" i="5" l="1"/>
  <c r="G10" i="5"/>
  <c r="G9" i="5"/>
  <c r="G8" i="5"/>
  <c r="G7" i="5"/>
  <c r="G6" i="5"/>
  <c r="G5" i="5"/>
  <c r="G4" i="5"/>
  <c r="E5" i="4"/>
  <c r="E11" i="5"/>
  <c r="E10" i="5"/>
  <c r="E9" i="5"/>
  <c r="E8" i="5"/>
  <c r="E7" i="5"/>
  <c r="E6" i="5"/>
  <c r="E5" i="5"/>
  <c r="E4" i="5"/>
  <c r="B25" i="5" l="1"/>
  <c r="E13" i="4"/>
  <c r="E14" i="4"/>
  <c r="E15" i="4" l="1"/>
  <c r="E16" i="4" s="1"/>
  <c r="B22" i="6"/>
  <c r="C22" i="6" s="1"/>
  <c r="B19" i="6" a="1"/>
  <c r="B19" i="6" s="1"/>
  <c r="C19"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<sst xmlns="http://schemas.openxmlformats.org/spreadsheetml/2006/main" count="486" uniqueCount="356">
  <si>
    <t>CTRBLXAI Weapon BP Builder v3.1</t>
  </si>
  <si>
    <t>Build, audit, and stress-test approved or explicitly provisional base-weapon endpoints against the working ~1,000 BP model.</t>
  </si>
  <si>
    <t>Authority</t>
  </si>
  <si>
    <t>Newest approved decision &gt; current Core Game Manual &gt; current Architecture &gt; this Builder &gt; older files.</t>
  </si>
  <si>
    <t>Editing rule</t>
  </si>
  <si>
    <t>Only blue cells on Weapon Builder and Scenario are intended for normal editing. Gray cells are controls/reference; white cells calculate.</t>
  </si>
  <si>
    <t>Current timing</t>
  </si>
  <si>
    <t>Basic Attack RT = ROUND(Modified Base RT x 0.10) + Effective Weapon WT.</t>
  </si>
  <si>
    <t>Complete-cycle rule</t>
  </si>
  <si>
    <t>Standard BP tempo uses Modified Base RT + two Basic Attack RT costs. Damage and RT Delay per 1000 CT include this Base RT cycle cost.</t>
  </si>
  <si>
    <t>Scope</t>
  </si>
  <si>
    <t>This workbook builds, audits, and stress-tests approved or explicitly provisional base-weapon endpoints using the current approximately 1,000 BP model. It does not determine Skill Card balance, rarity bonus packages, Armor, Accessories, Shields, Armor Off-Hands, authored Unique exceptions, or final Focus endpoints.</t>
  </si>
  <si>
    <t>Architecture boundary</t>
  </si>
  <si>
    <t>Unified Skill Cards may explicitly inherit eligible main-hand weapon properties, but Skill formulas and inheritance percentages are Manual-owned and are not priced by this base-weapon Builder.</t>
  </si>
  <si>
    <t>Negative limits</t>
  </si>
  <si>
    <t>Base RT Delay minimum -150; target RT cannot go below 0; maximum negative RT Delay BP refund -100. Negative Weapon Defense cannot exceed the same-level balanced Armor Defense floor.</t>
  </si>
  <si>
    <t>Range rule</t>
  </si>
  <si>
    <t>Maximum Range and projectile Minimum Range are separate. Minimum Range refunds are capped at 50% of Maximum Range BP.</t>
  </si>
  <si>
    <t>Passive delivery</t>
  </si>
  <si>
    <t>Built-in weapon-passive delivery is passive-specific.
A passive declares:
- Compatible Skill effect tags
- Compatible Target Rules
- Effect
- Delivery frequency
- Timing
- Restrictions
Delivery may be:
- Once per action
- Once per affected target
- Once per successful hit
Basic Attacks use the weapon passive’s declared delivery behavior.
For Skill Cards, compatibility must first be established through the Skill’s effect tags and Target Rules.
Multi-hit and multi-target Skills repeat a passive only when the passive’s declared delivery rule permits repetition.
Reduced Pattern damage does not reduce passive magnitude unless the passive explicitly scales from damage dealt.
Weapon RT Delay applies to a Skill Card only when the Skill explicitly declares Weapon RT Delay Inheritance.</t>
  </si>
  <si>
    <t>Skill Card interaction boundary</t>
  </si>
  <si>
    <t>Any unified Skill Card may explicitly inherit eligible properties from its equipped main-hand weapon.
Possible declared sources include:
- Weapon Damage
- Effective Weapon WT
- Weapon RT Delay
- Weapon Defense
- Weapon Maximum Range
- Weapon Minimum Range
- Weapon Pattern
- Projectile Type
- Weapon tags and properties
- Compatible weapon passives
Inheritance is never automatic.
Each Skill Card declares the inherited property, percentage or conversion, affected result, compatibility requirements, and exceptions.
Maximum Range and Minimum Range remain part of a complete inherited ranged profile. Minimum Range drawbacks may not be silently discarded.
The Weapon Builder prices the base weapon profile. It does not price the Skill Card that inherits the profile.</t>
  </si>
  <si>
    <t>Pattern ownership</t>
  </si>
  <si>
    <t>Base-pattern BP valuation and procedural rarity Pattern-conversion prices are separate systems.
This Builder values the complete base-weapon Pattern using the base Pattern BP model.
Procedural Line 2, Impact Splash, Cleave, Cone, Adjacent, and Chain conversions are rarity bonus attributes priced separately by the Manual and remain outside this base-endpoint Builder.
A procedural Pattern conversion applies to a Skill only when the Skill explicitly inherits Weapon Pattern.</t>
  </si>
  <si>
    <t>Use</t>
  </si>
  <si>
    <t>Edit Weapon Builder inputs, review BP and cycle outputs, then inspect Stress Tests and Validation.</t>
  </si>
  <si>
    <t>Not included</t>
  </si>
  <si>
    <t>Rarity bonus-package generation, Armor, Accessories, Shields, Armor Off-Hands, authored Unique exceptions, Skill Card BP calculation, and parked frameworks are outside this base-weapon Builder.</t>
  </si>
  <si>
    <t>Currently outside final Builder validation</t>
  </si>
  <si>
    <t>- Dagger base passive definition and allocation
- Hook
- Backstab
- Crushing Blow
- Groundbreaker
- Executioner
- Momentum
- Long Shot
- Stagger
- Twin Strike
- Follow Through
- Shattering
- Remaining undefined passive effects and prices
- Focus passive definitions and prices
- Final Focus archetype endpoints
- Off-hand Focus BP framework
- Skill Card BP Builder
- Armor BP Framework
- Accessory BP Framework
- Shield and Armor Off-Hand BP Framework
- Rarity bonus-package generation
- Authored Unique exceptions
- Advanced repeated-delivery and synergy pricing</t>
  </si>
  <si>
    <t>Topic</t>
  </si>
  <si>
    <t>v3.1 unified Skill and passive-catalog alignment</t>
  </si>
  <si>
    <t>Rule / Result</t>
  </si>
  <si>
    <t>Aligned the Weapon BP Builder with the unified Skill Card framework; corrected approved passive prices; parked undefined passive entries including Hook; marked Dagger provisional; replaced blanket passive-delivery assumptions with passive-specific delivery; separated base Pattern valuation from procedural Pattern-conversion pricing; recorded Focus as a normal weapon family using standard BP rules; and preserved all existing base-weapon formulas and endpoint values.</t>
  </si>
  <si>
    <t>Status</t>
  </si>
  <si>
    <t>Audit record</t>
  </si>
  <si>
    <t>BP Controls and Formula Ownership</t>
  </si>
  <si>
    <t>Working controls. Change only during deliberate recalibration.</t>
  </si>
  <si>
    <t>Control</t>
  </si>
  <si>
    <t>Value</t>
  </si>
  <si>
    <t>Meaning</t>
  </si>
  <si>
    <t>Target BP</t>
  </si>
  <si>
    <t>Expected normal base-weapon endpoint budget.</t>
  </si>
  <si>
    <t>1H flexibility BP</t>
  </si>
  <si>
    <t>Cost of keeping off-hand capacity; 2H cost is 0.</t>
  </si>
  <si>
    <t>Attack coefficient</t>
  </si>
  <si>
    <t>Attack BP at Rating 100.</t>
  </si>
  <si>
    <t>Attack exponent</t>
  </si>
  <si>
    <t>Curvature of attack pricing.</t>
  </si>
  <si>
    <t>High Attack threshold</t>
  </si>
  <si>
    <t>Premium begins above this Attack Rating.</t>
  </si>
  <si>
    <t>High Attack cap</t>
  </si>
  <si>
    <t>Maximum burst premium.</t>
  </si>
  <si>
    <t>High Attack decay</t>
  </si>
  <si>
    <t>Speed at which premium approaches cap.</t>
  </si>
  <si>
    <t>WT coefficient</t>
  </si>
  <si>
    <t>Tempo pricing scale against Sword.</t>
  </si>
  <si>
    <t>WT exponent</t>
  </si>
  <si>
    <t>Tempo curvature.</t>
  </si>
  <si>
    <t>Defense coefficient</t>
  </si>
  <si>
    <t>Realized durability pricing scale.</t>
  </si>
  <si>
    <t>Defense exponent</t>
  </si>
  <si>
    <t>Durability curve.</t>
  </si>
  <si>
    <t>RT Delay coefficient</t>
  </si>
  <si>
    <t>Timeline-control pricing at Rating 100.</t>
  </si>
  <si>
    <t>RT Delay exponent</t>
  </si>
  <si>
    <t>Timeline-control curvature.</t>
  </si>
  <si>
    <t>Negative RT Delay floor</t>
  </si>
  <si>
    <t>Minimum base RT Delay.</t>
  </si>
  <si>
    <t>Negative RT Delay refund cap</t>
  </si>
  <si>
    <t>Maximum BP refund from negative RT Delay.</t>
  </si>
  <si>
    <t>Range base</t>
  </si>
  <si>
    <t>Range 1 anchor.</t>
  </si>
  <si>
    <t>Range coefficient</t>
  </si>
  <si>
    <t>Additional range growth.</t>
  </si>
  <si>
    <t>Range exponent</t>
  </si>
  <si>
    <t>Additional range curvature.</t>
  </si>
  <si>
    <t>Min-range refund coefficient</t>
  </si>
  <si>
    <t>Projectile dead-zone refund growth.</t>
  </si>
  <si>
    <t>Min-range refund cap</t>
  </si>
  <si>
    <t>Refund cap as share of maximum-range BP.</t>
  </si>
  <si>
    <t>Pattern coefficient</t>
  </si>
  <si>
    <t>Additional target-equivalent pricing.</t>
  </si>
  <si>
    <t>Pattern exponent</t>
  </si>
  <si>
    <t>Pattern breadth curvature.</t>
  </si>
  <si>
    <t>Tempo synergy factor</t>
  </si>
  <si>
    <t>Fast WT plus excess delay overlap.</t>
  </si>
  <si>
    <t>Tempo synergy cap</t>
  </si>
  <si>
    <t>Maximum automatic tempo surcharge.</t>
  </si>
  <si>
    <t>Expected attacks per cycle</t>
  </si>
  <si>
    <t>Standard Basic Attack tempo assumption.</t>
  </si>
  <si>
    <t>Maximum Range</t>
  </si>
  <si>
    <t>Range BP</t>
  </si>
  <si>
    <t>Defense Realization</t>
  </si>
  <si>
    <t>Pattern</t>
  </si>
  <si>
    <t>Secondary Equiv.</t>
  </si>
  <si>
    <t>Reliability</t>
  </si>
  <si>
    <t>Pattern BP</t>
  </si>
  <si>
    <t>Single</t>
  </si>
  <si>
    <t>Line 2</t>
  </si>
  <si>
    <t>Cleave</t>
  </si>
  <si>
    <t>Impact Splash</t>
  </si>
  <si>
    <t>Passive</t>
  </si>
  <si>
    <t>BP</t>
  </si>
  <si>
    <t>Status / Builder Use</t>
  </si>
  <si>
    <t>None</t>
  </si>
  <si>
    <t>Approved</t>
  </si>
  <si>
    <t>Bleeding Edge</t>
  </si>
  <si>
    <t>Approved; Direct Damage + Enemy Unit; per successful hit</t>
  </si>
  <si>
    <t>Toxic Blade</t>
  </si>
  <si>
    <t>Venomous</t>
  </si>
  <si>
    <t>Approved; Direct Damage + Enemy Unit; per successful hit after damage</t>
  </si>
  <si>
    <t>Burning</t>
  </si>
  <si>
    <t>Approved elemental conversion; eligible Physical Direct Damage + Enemy Unit</t>
  </si>
  <si>
    <t>Freezing</t>
  </si>
  <si>
    <t>Blinding</t>
  </si>
  <si>
    <t>Crippling</t>
  </si>
  <si>
    <t>Mana Burn</t>
  </si>
  <si>
    <t>Approved passive price; Mana Burn numerical simulation remains pending</t>
  </si>
  <si>
    <t>Silencing</t>
  </si>
  <si>
    <t>Disarming</t>
  </si>
  <si>
    <t>Approved; minimum Rare; per successful hit</t>
  </si>
  <si>
    <t>Muting</t>
  </si>
  <si>
    <t>Cursing</t>
  </si>
  <si>
    <t>Weakening</t>
  </si>
  <si>
    <t>Approved; minimum Epic; per successful hit</t>
  </si>
  <si>
    <t>Mana Erosion</t>
  </si>
  <si>
    <t>Approved; Direct Damage + Enemy Unit; per qualifying damage hit</t>
  </si>
  <si>
    <t>Mana Rupture</t>
  </si>
  <si>
    <t>Push / Knockback 1</t>
  </si>
  <si>
    <t>Provisional base-archetype allocation used by the existing Club endpoint; procedural-affix effect and final general-purpose price remain pending.</t>
  </si>
  <si>
    <t>Backstab</t>
  </si>
  <si>
    <t>N/A</t>
  </si>
  <si>
    <t>Parked; effect, compatibility, delivery, and/or final BP price not approved</t>
  </si>
  <si>
    <t>Crushing Blow</t>
  </si>
  <si>
    <t>Groundbreaker</t>
  </si>
  <si>
    <t>Executioner</t>
  </si>
  <si>
    <t>Piercing Edge / Brutal</t>
  </si>
  <si>
    <t>Parked pending Dagger base-passive definition and BP allocation.</t>
  </si>
  <si>
    <t>Momentum</t>
  </si>
  <si>
    <t>Long Shot</t>
  </si>
  <si>
    <t>Hook</t>
  </si>
  <si>
    <t>Parked. Do not use the former 80 BP value.</t>
  </si>
  <si>
    <t>Stagger</t>
  </si>
  <si>
    <t>Twin Strike</t>
  </si>
  <si>
    <t>Parked. Do not use the former 260 BP value.</t>
  </si>
  <si>
    <t>Follow Through</t>
  </si>
  <si>
    <t>Parked. Do not use the former 300 BP value.</t>
  </si>
  <si>
    <t>Current Provisional Weapon Archetypes</t>
  </si>
  <si>
    <t>The 15 conventional weapon archetypes are provisional working endpoints. The catalog is incomplete and has no fixed final archetype count. Dagger remains provisional pending its base-passive definition.</t>
  </si>
  <si>
    <t>Weapon</t>
  </si>
  <si>
    <t>Family</t>
  </si>
  <si>
    <t>Projectile</t>
  </si>
  <si>
    <t>Hands</t>
  </si>
  <si>
    <t>Min Range</t>
  </si>
  <si>
    <t>Max Range</t>
  </si>
  <si>
    <t>L1 Damage</t>
  </si>
  <si>
    <t>L1 WT</t>
  </si>
  <si>
    <t>L1 Delay</t>
  </si>
  <si>
    <t>L1 Defense</t>
  </si>
  <si>
    <t>L99 Damage</t>
  </si>
  <si>
    <t>L99 WT</t>
  </si>
  <si>
    <t>L99 Delay</t>
  </si>
  <si>
    <t>L99 Defense</t>
  </si>
  <si>
    <t>L1 BP</t>
  </si>
  <si>
    <t>L99 BP</t>
  </si>
  <si>
    <t>Role</t>
  </si>
  <si>
    <t>Sword</t>
  </si>
  <si>
    <t>Melee</t>
  </si>
  <si>
    <t>1H</t>
  </si>
  <si>
    <t>Balanced 1H reference</t>
  </si>
  <si>
    <t>Dagger</t>
  </si>
  <si>
    <t>Piercing Edge / Brutal (Pending base-passive definition)</t>
  </si>
  <si>
    <t>Provisional Dagger endpoint. Piercing Edge / Brutal effect and BP allocation are pending. Do not use this row as a final passive-balanced simulation reference.</t>
  </si>
  <si>
    <t>Claws</t>
  </si>
  <si>
    <t>2H</t>
  </si>
  <si>
    <t>Sustained RT control</t>
  </si>
  <si>
    <t>Hammer</t>
  </si>
  <si>
    <t>Heavy impact and delay</t>
  </si>
  <si>
    <t>Greatsword</t>
  </si>
  <si>
    <t>Melee Cleave</t>
  </si>
  <si>
    <t>Spear</t>
  </si>
  <si>
    <t>Range-2 line</t>
  </si>
  <si>
    <t>Whip</t>
  </si>
  <si>
    <t>Safe melee reach</t>
  </si>
  <si>
    <t>Club</t>
  </si>
  <si>
    <t>Durable displacement</t>
  </si>
  <si>
    <t>War Axe</t>
  </si>
  <si>
    <t>Extreme burst</t>
  </si>
  <si>
    <t>Longbow</t>
  </si>
  <si>
    <t>Ranged</t>
  </si>
  <si>
    <t>Arc</t>
  </si>
  <si>
    <t>Long-range damage</t>
  </si>
  <si>
    <t>Hand Crossbow</t>
  </si>
  <si>
    <t>Direct</t>
  </si>
  <si>
    <t>Flexible 1H ranged</t>
  </si>
  <si>
    <t>Sling</t>
  </si>
  <si>
    <t>Fast arcing harassment</t>
  </si>
  <si>
    <t>Blowgun</t>
  </si>
  <si>
    <t>Venom delivery</t>
  </si>
  <si>
    <t>Bombard</t>
  </si>
  <si>
    <t>Splash artillery</t>
  </si>
  <si>
    <t>Repeating Crossbow</t>
  </si>
  <si>
    <t>Ranged RT control</t>
  </si>
  <si>
    <t>Focus Weapon Family</t>
  </si>
  <si>
    <t>Approved conceptual weapon family; exact passive definitions, prices, and archetype endpoints pending</t>
  </si>
  <si>
    <t>Builder ownership</t>
  </si>
  <si>
    <t>Focus uses the same approximately 1,000 BP base target, normal weapon BP curves, handedness pricing, Damage, WT, RT Delay, Defense, Range, Pattern, passive, and applicable synergy pricing as other weapon families.</t>
  </si>
  <si>
    <t>Skill interaction</t>
  </si>
  <si>
    <t>Focus is a normal weapon whose built-in passive is designed to improve eligible Skill Cards. Focus may Basic Attack and may provide explicitly inherited properties to compatible Skills. Focus is not the only weapon family whose properties Skills may inherit.</t>
  </si>
  <si>
    <t>WT</t>
  </si>
  <si>
    <t>STR reduces Focus WT through the normal weapon-WT rule. INT does not reduce Focus WT.</t>
  </si>
  <si>
    <t>Power</t>
  </si>
  <si>
    <t>Focus does not provide Spell Power and does not replace a Skill Card’s authored Power Formula.</t>
  </si>
  <si>
    <t>Passive pricing</t>
  </si>
  <si>
    <t>Focus passives use normal passive pricing. There is no automatic surcharge, discount, mandatory passive reserve, or separate Focus BP curve merely because the weapon is a Focus.</t>
  </si>
  <si>
    <t>Range identity / Off-hand</t>
  </si>
  <si>
    <t>Built-in Bonus Skill Range remains mainly a 2H Focus identity. Eligible 1H Focus may receive Bonus Skill Range through procedural rarity when budget, line count, family eligibility, and validation permit. Off-hand Focus is conceptually permitted, but its BP framework remains parked.</t>
  </si>
  <si>
    <t>Interactive Weapon BP Builder</t>
  </si>
  <si>
    <t>Blue cells are editable. White cells calculate. Complete-cycle outputs include Base RT plus two Basic Attacks. Projectile Type controls Minimum Range refund eligibility.</t>
  </si>
  <si>
    <t>Weapon Inputs</t>
  </si>
  <si>
    <t>Calculated BP</t>
  </si>
  <si>
    <t>Combat / Cycle Outputs</t>
  </si>
  <si>
    <t>Name</t>
  </si>
  <si>
    <t>Attack BP</t>
  </si>
  <si>
    <t>Attack Rating</t>
  </si>
  <si>
    <t>Weapon Damage</t>
  </si>
  <si>
    <t>WT BP</t>
  </si>
  <si>
    <t>Effective Weapon WT</t>
  </si>
  <si>
    <t>Weapon WT</t>
  </si>
  <si>
    <t>Defense BP</t>
  </si>
  <si>
    <t>Basic Attack RT</t>
  </si>
  <si>
    <t>RT Delay</t>
  </si>
  <si>
    <t>RT Delay BP</t>
  </si>
  <si>
    <t>Sword Basic Attack RT</t>
  </si>
  <si>
    <t>Weapon Defense</t>
  </si>
  <si>
    <t>Hand BP</t>
  </si>
  <si>
    <t>Modified Base RT</t>
  </si>
  <si>
    <t>Hand Type</t>
  </si>
  <si>
    <t>Maximum Range BP</t>
  </si>
  <si>
    <t>Two-Attack Cycle RT</t>
  </si>
  <si>
    <t>Minimum Range</t>
  </si>
  <si>
    <t>Minimum Range Refund</t>
  </si>
  <si>
    <t>Sword Two-Attack Cycle RT</t>
  </si>
  <si>
    <t>Attacks per 1000 CT</t>
  </si>
  <si>
    <t>Passive BP</t>
  </si>
  <si>
    <t>Sword Attacks per 1000 CT</t>
  </si>
  <si>
    <t>Tempo Synergy</t>
  </si>
  <si>
    <t>RT Delay Rating</t>
  </si>
  <si>
    <t>Total BP</t>
  </si>
  <si>
    <t>Final Damage / Attack</t>
  </si>
  <si>
    <t>Scenario Benchmark</t>
  </si>
  <si>
    <t>Variance</t>
  </si>
  <si>
    <t>HP Removed / Attack</t>
  </si>
  <si>
    <t>Endpoint</t>
  </si>
  <si>
    <t>Level 99</t>
  </si>
  <si>
    <t>Budget Status</t>
  </si>
  <si>
    <t>Damage per 1000 CT</t>
  </si>
  <si>
    <t>STR</t>
  </si>
  <si>
    <t>Raw RT Delay per 1000 CT</t>
  </si>
  <si>
    <t>VIT</t>
  </si>
  <si>
    <t>Incoming Damage</t>
  </si>
  <si>
    <t>Base RT</t>
  </si>
  <si>
    <t>Validation Notes</t>
  </si>
  <si>
    <t>Armor WT</t>
  </si>
  <si>
    <t>B7</t>
  </si>
  <si>
    <t>Effective Total Defense</t>
  </si>
  <si>
    <t>Armor Defense</t>
  </si>
  <si>
    <t>B10</t>
  </si>
  <si>
    <t>Reference Incoming Damage</t>
  </si>
  <si>
    <t>Sword Damage</t>
  </si>
  <si>
    <t>B8</t>
  </si>
  <si>
    <t>Sword WT</t>
  </si>
  <si>
    <t>B13</t>
  </si>
  <si>
    <t>Sword RT Delay</t>
  </si>
  <si>
    <t>Sword Defense</t>
  </si>
  <si>
    <t>Target Max HP</t>
  </si>
  <si>
    <t>Target Defense</t>
  </si>
  <si>
    <t>Projectile Type</t>
  </si>
  <si>
    <t>Stress Tests</t>
  </si>
  <si>
    <t>Scenario sweeps use the current Weapon Builder inputs and complete-cycle throughput.</t>
  </si>
  <si>
    <t>Damage / Attack</t>
  </si>
  <si>
    <t>HP Removed</t>
  </si>
  <si>
    <t>Damage / 1000 CT</t>
  </si>
  <si>
    <t>Delay / 1000 CT</t>
  </si>
  <si>
    <t>Cycle RT</t>
  </si>
  <si>
    <t>Attacks / 1000</t>
  </si>
  <si>
    <t>Notes</t>
  </si>
  <si>
    <t>Editable Defense case</t>
  </si>
  <si>
    <t>Repeated Complete Cycles</t>
  </si>
  <si>
    <t>Cycles</t>
  </si>
  <si>
    <t>Attacks</t>
  </si>
  <si>
    <t>Total Damage</t>
  </si>
  <si>
    <t>Total CT</t>
  </si>
  <si>
    <t>Total Delay</t>
  </si>
  <si>
    <t>Damage / 1000</t>
  </si>
  <si>
    <t>Interpretation</t>
  </si>
  <si>
    <t>Synergy / Limit Flags</t>
  </si>
  <si>
    <t>Tempo Control</t>
  </si>
  <si>
    <t>Positive WT BP plus excess RT Delay</t>
  </si>
  <si>
    <t>Safe Artillery</t>
  </si>
  <si>
    <t>High Attack plus Range 4+</t>
  </si>
  <si>
    <t>Alpha Strike</t>
  </si>
  <si>
    <t>High Attack plus faster-than-Sword tempo</t>
  </si>
  <si>
    <t>Repeated Delivery</t>
  </si>
  <si>
    <t>REVIEW when the selected Pattern, passive, or authored action can create repeated delivery. Delivery frequency is passive-specific and must not be assumed from hit count alone.</t>
  </si>
  <si>
    <t>Negative Delay Floor</t>
  </si>
  <si>
    <t>Minimum base RT Delay -150</t>
  </si>
  <si>
    <t>Defense Floor</t>
  </si>
  <si>
    <t>Cannot exceed balanced Armor Defense floor</t>
  </si>
  <si>
    <t>Projectile Minimum Range</t>
  </si>
  <si>
    <t>Minimum Range refund requires Direct or Arc projectile type</t>
  </si>
  <si>
    <t>Builder Validation and Current Boundaries</t>
  </si>
  <si>
    <t>Cross-check against the current audited Manual and Architecture.</t>
  </si>
  <si>
    <t>Check</t>
  </si>
  <si>
    <t>Details</t>
  </si>
  <si>
    <t>Timing basis</t>
  </si>
  <si>
    <t>PASS</t>
  </si>
  <si>
    <t>Basic Attack RT uses 10% Modified Base RT plus Effective Weapon WT.</t>
  </si>
  <si>
    <t>Complete-cycle throughput</t>
  </si>
  <si>
    <t>Includes Modified Base RT plus two Basic Attacks.</t>
  </si>
  <si>
    <t>Current archetypes</t>
  </si>
  <si>
    <t>PASS WITH PROVISIONAL NOTE</t>
  </si>
  <si>
    <t>15 conventional working endpoints preserved; catalog incomplete; Dagger passive pending.</t>
  </si>
  <si>
    <t>Minimum range</t>
  </si>
  <si>
    <t>Projectile Minimum Range refund is separate and capped.</t>
  </si>
  <si>
    <t>Negative RT Delay</t>
  </si>
  <si>
    <t>Base floor -150; target RT floor belongs to combat resolution; refund capped at -100 BP.</t>
  </si>
  <si>
    <t>Negative Defense</t>
  </si>
  <si>
    <t>Weapon Defense floor uses same-level balanced Armor Defense.</t>
  </si>
  <si>
    <t>Passive catalog</t>
  </si>
  <si>
    <t>PASS WITH PARKED ITEMS</t>
  </si>
  <si>
    <t>Approved prices corrected. Undefined and parked passives are excluded from normal valid Builder use.</t>
  </si>
  <si>
    <t>Passive-specific delivery is required. Delivery may be once per action, affected target, or successful hit. Skill compatibility uses declared effect tags and Target Rules. Weapon RT Delay applies to Skills only through explicit inheritance.</t>
  </si>
  <si>
    <t>Unified Skill inheritance</t>
  </si>
  <si>
    <t>Base weapon properties may be explicitly inherited by eligible Skill Cards; inheritance is Skill-authored and outside BP calculation.</t>
  </si>
  <si>
    <t>Pattern boundary</t>
  </si>
  <si>
    <t>Base Pattern valuation is separate from procedural Pattern-conversion pricing.</t>
  </si>
  <si>
    <t>Focus boundary</t>
  </si>
  <si>
    <t>Focus uses normal weapon BP rules; numerical endpoints and passive prices remain pending.</t>
  </si>
  <si>
    <t>REVIEW</t>
  </si>
  <si>
    <t>Endpoint remains provisional until Piercing Edge / Brutal is approved.</t>
  </si>
  <si>
    <t>Rarity separation</t>
  </si>
  <si>
    <t>Rarity bonus attributes and authored Unique exceptions remain outside this base-weapon Builder.</t>
  </si>
  <si>
    <t>Unresolved formulas</t>
  </si>
  <si>
    <t>Safe Artillery, Alpha Strike, repeated-delivery, and other future synergy formulas remain review flags.</t>
  </si>
  <si>
    <t>Source hierarchy</t>
  </si>
  <si>
    <t>Newest approved decision, then Manual, Architecture, Builder.</t>
  </si>
  <si>
    <t>Formula integrity</t>
  </si>
  <si>
    <t>Target mapping</t>
  </si>
  <si>
    <t>HP Removed uses Target Max HP; damage uses Target Defense.</t>
  </si>
  <si>
    <t>Defense references</t>
  </si>
  <si>
    <t>Incoming and reference damage use Armor Defense plus weapon or Sword Defense.</t>
  </si>
  <si>
    <t>Default reference</t>
  </si>
  <si>
    <t>Projectile eligibility</t>
  </si>
  <si>
    <t>Minimum Range refund requires Direct or Arc projectile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</si>
</sst>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5"/>
      <color rgb="FFFFFFFF"/>
      <name val="Calibri"/>
      <family val="2"/>
      <scheme val="minor"/>
    </font>
    <font>
      <b/>
      <sz val="11"/>
      <color theme="1"/>
      <name val="Calibri"/>
      <family val="2"/>
      <scheme val="minor"/>
    </font>
    <font>
      <b/>
      <sz val="11"/>
      <color rgb="FFFFFFFF"/>
      <name val="Calibri"/>
      <family val="2"/>
      <scheme val="minor"/>
    </font>
    <font>
      <sz val="11"/>
      <color rgb="FF666666"/>
      <name val="Calibri"/>
      <family val="2"/>
      <scheme val="minor"/>
    </font>
    <font>
      <sz val="11"/>
      <color rgb="FF9C5700"/>
      <name val="Calibri"/>
      <family val="2"/>
      <scheme val="minor"/>
    </font>
    <font>
      <sz val="11"/>
      <color rgb="FF000000"/>
      <name val="Calibri"/>
      <family val="2"/>
      <scheme val="minor"/>
    </font>
    <font>
      <sz val="11"/>
      <color rgb="FF008000"/>
      <name val="Calibri"/>
      <family val="2"/>
      <scheme val="minor"/>
    </font>
    <font>
      <sz val="11"/>
      <color rgb="FF0000FF"/>
      <name val="Calibri"/>
      <family val="2"/>
      <scheme val="minor"/>
    </font>
  </fonts>
  <fills count="10">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2F2F2"/>
        <bgColor indexed="64"/>
      </patternFill>
    </fill>
    <fill>
      <patternFill patternType="solid">
        <fgColor rgb="FFFCE4D6"/>
        <bgColor indexed="64"/>
      </patternFill>
    </fill>
    <fill>
      <patternFill patternType="solid">
        <fgColor rgb="FFFFFFFF"/>
        <bgColor indexed="64"/>
      </patternFill>
    </fill>
    <fill>
      <patternFill patternType="solid">
        <fgColor rgb="FFE2F0D9"/>
        <bgColor indexed="64"/>
      </patternFill>
    </fill>
    <fill>
      <patternFill patternType="solid">
        <fgColor rgb="FFDDEBF7"/>
        <bgColor indexed="64"/>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3" fillId="4" borderId="1" xfId="0" applyFont="1" applyFill="1" applyBorder="1" applyAlignment="1">
      <alignment horizontal="center" vertical="center" wrapText="1"/>
    </xf>
    <xf numFmtId="0" fontId="4" fillId="5" borderId="2" xfId="0" applyFont="1" applyFill="1" applyBorder="1" applyAlignment="1">
      <alignment vertical="top" wrapText="1"/>
    </xf>
    <xf numFmtId="0" fontId="5" fillId="6" borderId="2" xfId="0" applyFont="1" applyFill="1" applyBorder="1" applyAlignment="1">
      <alignment vertical="top" wrapText="1"/>
    </xf>
    <xf numFmtId="0" fontId="6" fillId="7" borderId="2" xfId="0" applyFont="1" applyFill="1" applyBorder="1" applyAlignment="1">
      <alignment vertical="top" wrapText="1"/>
    </xf>
    <xf numFmtId="0" fontId="7" fillId="8" borderId="2" xfId="0" applyFont="1" applyFill="1" applyBorder="1" applyAlignment="1">
      <alignment vertical="top" wrapText="1"/>
    </xf>
    <xf numFmtId="0" fontId="8" fillId="9" borderId="1" xfId="0" applyFont="1" applyFill="1" applyBorder="1" applyAlignment="1">
      <alignment vertical="top" wrapText="1"/>
    </xf>
    <xf numFmtId="2" fontId="6" fillId="7" borderId="2" xfId="0" applyNumberFormat="1" applyFont="1" applyFill="1" applyBorder="1" applyAlignment="1">
      <alignment vertical="top" wrapText="1"/>
    </xf>
    <xf numFmtId="0" fontId="4" fillId="5" borderId="2" xfId="0" applyFont="1" applyFill="1" applyBorder="1" applyAlignment="1">
      <alignment vertical="top"/>
    </xf>
    <xf numFmtId="0" fontId="3" fillId="2" borderId="0" xfId="0" applyFont="1" applyFill="1" applyAlignment="1">
      <alignment horizontal="left" vertical="center"/>
    </xf>
    <xf numFmtId="0" fontId="1" fillId="2" borderId="0" xfId="0" applyFont="1" applyFill="1" applyAlignment="1">
      <alignment horizontal="left" vertical="center"/>
    </xf>
    <xf numFmtId="0" fontId="2" fillId="3" borderId="0" xfId="0" applyFont="1" applyFill="1" applyAlignment="1">
      <alignment vertical="center" wrapText="1"/>
    </xf>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2"/>
  <sheetViews>
    <sheetView showGridLines="0" workbookViewId="0"/>
  </sheetViews>
  <sheetFormatPr defaultRowHeight="15"/>
  <cols>
    <col min="1" max="1" width="24.7109375" customWidth="1"/>
    <col min="2" max="2" width="38.140625" customWidth="1"/>
  </cols>
  <sheetData>
    <row r="1" spans="1:2">
      <c r="A1" s="10" t="s">
        <v>0</v>
      </c>
      <c r="B1" s="10"/>
    </row>
    <row r="2" spans="1:2">
      <c r="A2" s="11" t="s">
        <v>1</v>
      </c>
      <c r="B2" s="11"/>
    </row>
    <row r="4" spans="1:2" ht="38.1" customHeight="1">
      <c r="A4" s="1" t="s">
        <v>2</v>
      </c>
      <c r="B4" s="2" t="s">
        <v>3</v>
      </c>
    </row>
    <row r="5" spans="1:2" ht="38.1" customHeight="1">
      <c r="A5" s="1" t="s">
        <v>4</v>
      </c>
      <c r="B5" s="2" t="s">
        <v>5</v>
      </c>
    </row>
    <row r="6" spans="1:2" ht="38.1" customHeight="1">
      <c r="A6" s="1" t="s">
        <v>6</v>
      </c>
      <c r="B6" s="2" t="s">
        <v>7</v>
      </c>
    </row>
    <row r="7" spans="1:2" ht="38.1" customHeight="1">
      <c r="A7" s="1" t="s">
        <v>8</v>
      </c>
      <c r="B7" s="2" t="s">
        <v>9</v>
      </c>
    </row>
    <row r="8" spans="1:2" ht="121.5">
      <c r="A8" s="1" t="s">
        <v>10</v>
      </c>
      <c r="B8" s="2" t="s">
        <v>11</v>
      </c>
    </row>
    <row r="9" spans="1:2" ht="76.5">
      <c r="A9" s="1" t="s">
        <v>12</v>
      </c>
      <c r="B9" s="2" t="s">
        <v>13</v>
      </c>
    </row>
    <row r="10" spans="1:2" ht="76.5">
      <c r="A10" s="1" t="s">
        <v>14</v>
      </c>
      <c r="B10" s="2" t="s">
        <v>15</v>
      </c>
    </row>
    <row r="11" spans="1:2" ht="60.75">
      <c r="A11" s="1" t="s">
        <v>16</v>
      </c>
      <c r="B11" s="2" t="s">
        <v>17</v>
      </c>
    </row>
    <row r="12" spans="1:2" ht="409.6">
      <c r="A12" s="1" t="s">
        <v>18</v>
      </c>
      <c r="B12" s="2" t="s">
        <v>19</v>
      </c>
    </row>
    <row r="13" spans="1:2" ht="409.6">
      <c r="A13" s="1" t="s">
        <v>20</v>
      </c>
      <c r="B13" s="2" t="s">
        <v>21</v>
      </c>
    </row>
    <row r="14" spans="1:2" ht="259.5">
      <c r="A14" s="1" t="s">
        <v>22</v>
      </c>
      <c r="B14" s="2" t="s">
        <v>23</v>
      </c>
    </row>
    <row r="15" spans="1:2" ht="45.75">
      <c r="A15" s="1" t="s">
        <v>24</v>
      </c>
      <c r="B15" s="2" t="s">
        <v>25</v>
      </c>
    </row>
    <row r="16" spans="1:2" ht="76.5">
      <c r="A16" s="1" t="s">
        <v>26</v>
      </c>
      <c r="B16" s="2" t="s">
        <v>27</v>
      </c>
    </row>
    <row r="17" spans="1:2" ht="409.6">
      <c r="A17" s="1" t="s">
        <v>28</v>
      </c>
      <c r="B17" s="2" t="s">
        <v>29</v>
      </c>
    </row>
    <row r="18" spans="1:2">
      <c r="A18" s="1"/>
      <c r="B18" s="2"/>
    </row>
    <row r="19" spans="1:2" ht="30.75">
      <c r="A19" s="1" t="s">
        <v>30</v>
      </c>
      <c r="B19" s="2" t="s">
        <v>31</v>
      </c>
    </row>
    <row r="20" spans="1:2" ht="183">
      <c r="A20" s="1" t="s">
        <v>32</v>
      </c>
      <c r="B20" s="2" t="s">
        <v>33</v>
      </c>
    </row>
    <row r="21" spans="1:2">
      <c r="A21" s="1" t="s">
        <v>34</v>
      </c>
      <c r="B21" s="2" t="s">
        <v>35</v>
      </c>
    </row>
    <row r="22" spans="1:2">
      <c r="A22" s="1"/>
      <c r="B22" s="2"/>
    </row>
  </sheetData>
  <mergeCells count="2">
    <mergeCell ref="A1:B1"/>
    <mergeCell ref="A2:B2"/>
  </mergeCells>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78"/>
  <sheetViews>
    <sheetView showGridLines="0" workbookViewId="0"/>
  </sheetViews>
  <sheetFormatPr defaultRowHeight="15"/>
  <cols>
    <col min="1" max="1" width="30.7109375" customWidth="1"/>
    <col min="2" max="2" width="16.7109375" customWidth="1"/>
    <col min="3" max="3" width="38.140625" customWidth="1"/>
  </cols>
  <sheetData>
    <row r="1" spans="1:3">
      <c r="A1" s="10" t="s">
        <v>36</v>
      </c>
      <c r="B1" s="10"/>
      <c r="C1" s="10"/>
    </row>
    <row r="2" spans="1:3">
      <c r="A2" s="11" t="s">
        <v>37</v>
      </c>
      <c r="B2" s="11"/>
      <c r="C2" s="11"/>
    </row>
    <row r="3" spans="1:3">
      <c r="A3" s="1" t="s">
        <v>38</v>
      </c>
      <c r="B3" s="1" t="s">
        <v>39</v>
      </c>
      <c r="C3" s="1" t="s">
        <v>40</v>
      </c>
    </row>
    <row r="4" spans="1:3">
      <c r="A4" s="2" t="s">
        <v>41</v>
      </c>
      <c r="B4" s="3">
        <v>1000</v>
      </c>
      <c r="C4" s="2" t="s">
        <v>42</v>
      </c>
    </row>
    <row r="5" spans="1:3">
      <c r="A5" s="2" t="s">
        <v>43</v>
      </c>
      <c r="B5" s="3">
        <v>350</v>
      </c>
      <c r="C5" s="2" t="s">
        <v>44</v>
      </c>
    </row>
    <row r="6" spans="1:3">
      <c r="A6" s="2" t="s">
        <v>45</v>
      </c>
      <c r="B6" s="3">
        <v>350</v>
      </c>
      <c r="C6" s="2" t="s">
        <v>46</v>
      </c>
    </row>
    <row r="7" spans="1:3">
      <c r="A7" s="2" t="s">
        <v>47</v>
      </c>
      <c r="B7" s="3">
        <v>1.4</v>
      </c>
      <c r="C7" s="2" t="s">
        <v>48</v>
      </c>
    </row>
    <row r="8" spans="1:3">
      <c r="A8" s="2" t="s">
        <v>49</v>
      </c>
      <c r="B8" s="3">
        <v>125</v>
      </c>
      <c r="C8" s="2" t="s">
        <v>50</v>
      </c>
    </row>
    <row r="9" spans="1:3">
      <c r="A9" s="2" t="s">
        <v>51</v>
      </c>
      <c r="B9" s="3">
        <v>400</v>
      </c>
      <c r="C9" s="2" t="s">
        <v>52</v>
      </c>
    </row>
    <row r="10" spans="1:3">
      <c r="A10" s="2" t="s">
        <v>53</v>
      </c>
      <c r="B10" s="3">
        <v>14</v>
      </c>
      <c r="C10" s="2" t="s">
        <v>54</v>
      </c>
    </row>
    <row r="11" spans="1:3">
      <c r="A11" s="2" t="s">
        <v>55</v>
      </c>
      <c r="B11" s="3">
        <v>350</v>
      </c>
      <c r="C11" s="2" t="s">
        <v>56</v>
      </c>
    </row>
    <row r="12" spans="1:3">
      <c r="A12" s="2" t="s">
        <v>57</v>
      </c>
      <c r="B12" s="3">
        <v>1.5</v>
      </c>
      <c r="C12" s="2" t="s">
        <v>58</v>
      </c>
    </row>
    <row r="13" spans="1:3">
      <c r="A13" s="2" t="s">
        <v>59</v>
      </c>
      <c r="B13" s="3">
        <v>300</v>
      </c>
      <c r="C13" s="2" t="s">
        <v>60</v>
      </c>
    </row>
    <row r="14" spans="1:3">
      <c r="A14" s="2" t="s">
        <v>61</v>
      </c>
      <c r="B14" s="3">
        <v>1.25</v>
      </c>
      <c r="C14" s="2" t="s">
        <v>62</v>
      </c>
    </row>
    <row r="15" spans="1:3">
      <c r="A15" s="2" t="s">
        <v>63</v>
      </c>
      <c r="B15" s="3">
        <v>200</v>
      </c>
      <c r="C15" s="2" t="s">
        <v>64</v>
      </c>
    </row>
    <row r="16" spans="1:3">
      <c r="A16" s="2" t="s">
        <v>65</v>
      </c>
      <c r="B16" s="3">
        <v>1.4</v>
      </c>
      <c r="C16" s="2" t="s">
        <v>66</v>
      </c>
    </row>
    <row r="17" spans="1:3">
      <c r="A17" s="2" t="s">
        <v>67</v>
      </c>
      <c r="B17" s="3">
        <v>-150</v>
      </c>
      <c r="C17" s="2" t="s">
        <v>68</v>
      </c>
    </row>
    <row r="18" spans="1:3">
      <c r="A18" s="2" t="s">
        <v>69</v>
      </c>
      <c r="B18" s="3">
        <v>-100</v>
      </c>
      <c r="C18" s="2" t="s">
        <v>70</v>
      </c>
    </row>
    <row r="19" spans="1:3">
      <c r="A19" s="2" t="s">
        <v>71</v>
      </c>
      <c r="B19" s="3">
        <v>100</v>
      </c>
      <c r="C19" s="2" t="s">
        <v>72</v>
      </c>
    </row>
    <row r="20" spans="1:3">
      <c r="A20" s="2" t="s">
        <v>73</v>
      </c>
      <c r="B20" s="3">
        <v>80</v>
      </c>
      <c r="C20" s="2" t="s">
        <v>74</v>
      </c>
    </row>
    <row r="21" spans="1:3">
      <c r="A21" s="2" t="s">
        <v>75</v>
      </c>
      <c r="B21" s="3">
        <v>1.4</v>
      </c>
      <c r="C21" s="2" t="s">
        <v>76</v>
      </c>
    </row>
    <row r="22" spans="1:3">
      <c r="A22" s="2" t="s">
        <v>77</v>
      </c>
      <c r="B22" s="3">
        <v>60</v>
      </c>
      <c r="C22" s="2" t="s">
        <v>78</v>
      </c>
    </row>
    <row r="23" spans="1:3">
      <c r="A23" s="2" t="s">
        <v>79</v>
      </c>
      <c r="B23" s="3">
        <v>0.5</v>
      </c>
      <c r="C23" s="2" t="s">
        <v>80</v>
      </c>
    </row>
    <row r="24" spans="1:3">
      <c r="A24" s="2" t="s">
        <v>81</v>
      </c>
      <c r="B24" s="3">
        <v>400</v>
      </c>
      <c r="C24" s="2" t="s">
        <v>82</v>
      </c>
    </row>
    <row r="25" spans="1:3">
      <c r="A25" s="2" t="s">
        <v>83</v>
      </c>
      <c r="B25" s="3">
        <v>1.25</v>
      </c>
      <c r="C25" s="2" t="s">
        <v>84</v>
      </c>
    </row>
    <row r="26" spans="1:3">
      <c r="A26" s="2" t="s">
        <v>85</v>
      </c>
      <c r="B26" s="3">
        <v>0.35</v>
      </c>
      <c r="C26" s="2" t="s">
        <v>86</v>
      </c>
    </row>
    <row r="27" spans="1:3">
      <c r="A27" s="2" t="s">
        <v>87</v>
      </c>
      <c r="B27" s="3">
        <v>150</v>
      </c>
      <c r="C27" s="2" t="s">
        <v>88</v>
      </c>
    </row>
    <row r="28" spans="1:3">
      <c r="A28" s="2" t="s">
        <v>89</v>
      </c>
      <c r="B28" s="3">
        <v>2</v>
      </c>
      <c r="C28" s="2" t="s">
        <v>90</v>
      </c>
    </row>
    <row r="32" spans="1:3">
      <c r="A32" s="1" t="s">
        <v>91</v>
      </c>
      <c r="B32" s="1" t="s">
        <v>92</v>
      </c>
      <c r="C32" s="1" t="s">
        <v>93</v>
      </c>
    </row>
    <row r="33" spans="1:4">
      <c r="A33" s="2">
        <v>1</v>
      </c>
      <c r="B33" s="4">
        <f>ROUND(RangeBase+RangeCoeff*(A33-1)^RangeExp,0)</f>
        <v>100</v>
      </c>
      <c r="C33" s="2">
        <v>1</v>
      </c>
    </row>
    <row r="34" spans="1:4">
      <c r="A34" s="2">
        <v>2</v>
      </c>
      <c r="B34" s="4">
        <f>ROUND(RangeBase+RangeCoeff*(A34-1)^RangeExp,0)</f>
        <v>180</v>
      </c>
      <c r="C34" s="2">
        <v>0.8</v>
      </c>
    </row>
    <row r="35" spans="1:4">
      <c r="A35" s="2">
        <v>3</v>
      </c>
      <c r="B35" s="4">
        <f>ROUND(RangeBase+RangeCoeff*(A35-1)^RangeExp,0)</f>
        <v>311</v>
      </c>
      <c r="C35" s="2">
        <v>0.65</v>
      </c>
    </row>
    <row r="36" spans="1:4">
      <c r="A36" s="2">
        <v>4</v>
      </c>
      <c r="B36" s="4">
        <f>ROUND(RangeBase+RangeCoeff*(A36-1)^RangeExp,0)</f>
        <v>472</v>
      </c>
      <c r="C36" s="2">
        <v>0.5</v>
      </c>
    </row>
    <row r="37" spans="1:4">
      <c r="A37" s="2">
        <v>5</v>
      </c>
      <c r="B37" s="4">
        <f>ROUND(RangeBase+RangeCoeff*(A37-1)^RangeExp,0)</f>
        <v>657</v>
      </c>
      <c r="C37" s="2">
        <v>0.4</v>
      </c>
    </row>
    <row r="38" spans="1:4">
      <c r="A38" s="2">
        <v>6</v>
      </c>
      <c r="B38" s="4">
        <f>ROUND(RangeBase+RangeCoeff*(A38-1)^RangeExp,0)</f>
        <v>861</v>
      </c>
      <c r="C38" s="2">
        <v>0.35</v>
      </c>
    </row>
    <row r="39" spans="1:4">
      <c r="A39" s="2">
        <v>7</v>
      </c>
      <c r="B39" s="4">
        <f>ROUND(RangeBase+RangeCoeff*(A39-1)^RangeExp,0)</f>
        <v>1083</v>
      </c>
      <c r="C39" s="2">
        <v>0.35</v>
      </c>
    </row>
    <row r="40" spans="1:4">
      <c r="A40" s="2">
        <v>8</v>
      </c>
      <c r="B40" s="4">
        <f>ROUND(RangeBase+RangeCoeff*(A40-1)^RangeExp,0)</f>
        <v>1320</v>
      </c>
      <c r="C40" s="2">
        <v>0.35</v>
      </c>
    </row>
    <row r="43" spans="1:4">
      <c r="A43" s="1" t="s">
        <v>94</v>
      </c>
      <c r="B43" s="1" t="s">
        <v>95</v>
      </c>
      <c r="C43" s="1" t="s">
        <v>96</v>
      </c>
      <c r="D43" s="1" t="s">
        <v>97</v>
      </c>
    </row>
    <row r="44" spans="1:4">
      <c r="A44" s="2" t="s">
        <v>98</v>
      </c>
      <c r="B44" s="2">
        <v>0</v>
      </c>
      <c r="C44" s="2">
        <v>1</v>
      </c>
      <c r="D44" s="4">
        <f>ROUND(PatternCoeff*B44^PatternExp*C44,0)</f>
        <v>0</v>
      </c>
    </row>
    <row r="45" spans="1:4">
      <c r="A45" s="2" t="s">
        <v>99</v>
      </c>
      <c r="B45" s="2">
        <v>1</v>
      </c>
      <c r="C45" s="2">
        <v>1</v>
      </c>
      <c r="D45" s="4">
        <f>ROUND(PatternCoeff*B45^PatternExp*C45,0)</f>
        <v>400</v>
      </c>
    </row>
    <row r="46" spans="1:4">
      <c r="A46" s="2" t="s">
        <v>100</v>
      </c>
      <c r="B46" s="2">
        <v>1.5</v>
      </c>
      <c r="C46" s="2">
        <v>0.9</v>
      </c>
      <c r="D46" s="4">
        <f>ROUND(PatternCoeff*B46^PatternExp*C46,0)</f>
        <v>598</v>
      </c>
    </row>
    <row r="47" spans="1:4">
      <c r="A47" s="2" t="s">
        <v>101</v>
      </c>
      <c r="B47" s="2">
        <v>1</v>
      </c>
      <c r="C47" s="2">
        <v>1</v>
      </c>
      <c r="D47" s="4">
        <f>ROUND(PatternCoeff*B47^PatternExp*C47,0)</f>
        <v>400</v>
      </c>
    </row>
    <row r="50" spans="1:3">
      <c r="A50" s="1" t="s">
        <v>102</v>
      </c>
      <c r="B50" s="1" t="s">
        <v>103</v>
      </c>
      <c r="C50" s="1" t="s">
        <v>104</v>
      </c>
    </row>
    <row r="51" spans="1:3">
      <c r="A51" s="2" t="s">
        <v>105</v>
      </c>
      <c r="B51" s="2">
        <v>0</v>
      </c>
      <c r="C51" s="2" t="s">
        <v>106</v>
      </c>
    </row>
    <row r="52" spans="1:3" ht="30.75">
      <c r="A52" s="2" t="s">
        <v>107</v>
      </c>
      <c r="B52" s="2">
        <v>200</v>
      </c>
      <c r="C52" s="2" t="s">
        <v>108</v>
      </c>
    </row>
    <row r="53" spans="1:3" ht="30.75">
      <c r="A53" s="2" t="s">
        <v>109</v>
      </c>
      <c r="B53" s="2">
        <v>150</v>
      </c>
      <c r="C53" s="2" t="s">
        <v>108</v>
      </c>
    </row>
    <row r="54" spans="1:3" ht="30.75">
      <c r="A54" s="2" t="s">
        <v>110</v>
      </c>
      <c r="B54" s="2">
        <v>200</v>
      </c>
      <c r="C54" s="2" t="s">
        <v>111</v>
      </c>
    </row>
    <row r="55" spans="1:3" ht="30.75">
      <c r="A55" s="2" t="s">
        <v>112</v>
      </c>
      <c r="B55" s="2">
        <v>200</v>
      </c>
      <c r="C55" s="2" t="s">
        <v>113</v>
      </c>
    </row>
    <row r="56" spans="1:3" ht="30.75">
      <c r="A56" s="2" t="s">
        <v>114</v>
      </c>
      <c r="B56" s="2">
        <v>150</v>
      </c>
      <c r="C56" s="2" t="s">
        <v>113</v>
      </c>
    </row>
    <row r="57" spans="1:3" ht="30.75">
      <c r="A57" s="2" t="s">
        <v>115</v>
      </c>
      <c r="B57" s="2">
        <v>150</v>
      </c>
      <c r="C57" s="2" t="s">
        <v>108</v>
      </c>
    </row>
    <row r="58" spans="1:3" ht="30.75">
      <c r="A58" s="2" t="s">
        <v>116</v>
      </c>
      <c r="B58" s="2">
        <v>200</v>
      </c>
      <c r="C58" s="2" t="s">
        <v>108</v>
      </c>
    </row>
    <row r="59" spans="1:3" ht="30.75">
      <c r="A59" s="2" t="s">
        <v>117</v>
      </c>
      <c r="B59" s="2">
        <v>200</v>
      </c>
      <c r="C59" s="2" t="s">
        <v>118</v>
      </c>
    </row>
    <row r="60" spans="1:3" ht="30.75">
      <c r="A60" s="2" t="s">
        <v>119</v>
      </c>
      <c r="B60" s="2">
        <v>250</v>
      </c>
      <c r="C60" s="2" t="s">
        <v>108</v>
      </c>
    </row>
    <row r="61" spans="1:3" ht="30.75">
      <c r="A61" s="2" t="s">
        <v>120</v>
      </c>
      <c r="B61" s="2">
        <v>100</v>
      </c>
      <c r="C61" s="2" t="s">
        <v>121</v>
      </c>
    </row>
    <row r="62" spans="1:3" ht="30.75">
      <c r="A62" s="2" t="s">
        <v>122</v>
      </c>
      <c r="B62" s="2">
        <v>80</v>
      </c>
      <c r="C62" s="2" t="s">
        <v>121</v>
      </c>
    </row>
    <row r="63" spans="1:3" ht="30.75">
      <c r="A63" s="2" t="s">
        <v>123</v>
      </c>
      <c r="B63" s="2">
        <v>150</v>
      </c>
      <c r="C63" s="2" t="s">
        <v>108</v>
      </c>
    </row>
    <row r="64" spans="1:3" ht="30.75">
      <c r="A64" s="2" t="s">
        <v>124</v>
      </c>
      <c r="B64" s="2">
        <v>200</v>
      </c>
      <c r="C64" s="2" t="s">
        <v>125</v>
      </c>
    </row>
    <row r="65" spans="1:3" ht="30.75">
      <c r="A65" s="2" t="s">
        <v>126</v>
      </c>
      <c r="B65" s="2">
        <v>200</v>
      </c>
      <c r="C65" s="2" t="s">
        <v>127</v>
      </c>
    </row>
    <row r="66" spans="1:3" ht="30.75">
      <c r="A66" s="2" t="s">
        <v>128</v>
      </c>
      <c r="B66" s="2">
        <v>250</v>
      </c>
      <c r="C66" s="2" t="s">
        <v>108</v>
      </c>
    </row>
    <row r="67" spans="1:3" ht="60.75">
      <c r="A67" s="2" t="s">
        <v>129</v>
      </c>
      <c r="B67" s="2">
        <v>180</v>
      </c>
      <c r="C67" s="2" t="s">
        <v>130</v>
      </c>
    </row>
    <row r="68" spans="1:3" ht="30.75">
      <c r="A68" s="2" t="s">
        <v>131</v>
      </c>
      <c r="B68" s="2" t="s">
        <v>132</v>
      </c>
      <c r="C68" s="2" t="s">
        <v>133</v>
      </c>
    </row>
    <row r="69" spans="1:3" ht="30.75">
      <c r="A69" s="2" t="s">
        <v>134</v>
      </c>
      <c r="B69" s="2" t="s">
        <v>132</v>
      </c>
      <c r="C69" s="2" t="s">
        <v>133</v>
      </c>
    </row>
    <row r="70" spans="1:3" ht="30.75">
      <c r="A70" s="2" t="s">
        <v>135</v>
      </c>
      <c r="B70" s="2" t="s">
        <v>132</v>
      </c>
      <c r="C70" s="2" t="s">
        <v>133</v>
      </c>
    </row>
    <row r="71" spans="1:3" ht="30.75">
      <c r="A71" s="2" t="s">
        <v>136</v>
      </c>
      <c r="B71" s="2" t="s">
        <v>132</v>
      </c>
      <c r="C71" s="2" t="s">
        <v>133</v>
      </c>
    </row>
    <row r="72" spans="1:3" ht="30.75">
      <c r="A72" s="2" t="s">
        <v>137</v>
      </c>
      <c r="B72" s="2" t="s">
        <v>132</v>
      </c>
      <c r="C72" s="2" t="s">
        <v>138</v>
      </c>
    </row>
    <row r="73" spans="1:3" ht="30.75">
      <c r="A73" s="2" t="s">
        <v>139</v>
      </c>
      <c r="B73" s="2" t="s">
        <v>132</v>
      </c>
      <c r="C73" s="2" t="s">
        <v>133</v>
      </c>
    </row>
    <row r="74" spans="1:3" ht="30.75">
      <c r="A74" s="2" t="s">
        <v>140</v>
      </c>
      <c r="B74" s="2" t="s">
        <v>132</v>
      </c>
      <c r="C74" s="2" t="s">
        <v>133</v>
      </c>
    </row>
    <row r="75" spans="1:3">
      <c r="A75" s="2" t="s">
        <v>141</v>
      </c>
      <c r="B75" s="2" t="s">
        <v>132</v>
      </c>
      <c r="C75" s="2" t="s">
        <v>142</v>
      </c>
    </row>
    <row r="76" spans="1:3" ht="30.75">
      <c r="A76" s="2" t="s">
        <v>143</v>
      </c>
      <c r="B76" s="2" t="s">
        <v>132</v>
      </c>
      <c r="C76" s="2" t="s">
        <v>133</v>
      </c>
    </row>
    <row r="77" spans="1:3" ht="30.75">
      <c r="A77" s="2" t="s">
        <v>144</v>
      </c>
      <c r="B77" s="2" t="s">
        <v>132</v>
      </c>
      <c r="C77" s="2" t="s">
        <v>145</v>
      </c>
    </row>
    <row r="78" spans="1:3" ht="30.75">
      <c r="A78" s="2" t="s">
        <v>146</v>
      </c>
      <c r="B78" s="2" t="s">
        <v>132</v>
      </c>
      <c r="C78" s="2" t="s">
        <v>147</v>
      </c>
    </row>
  </sheetData>
  <mergeCells count="2">
    <mergeCell ref="A1:C1"/>
    <mergeCell ref="A2:C2"/>
  </mergeCells>
  <pageMargins left="0.7" right="0.7" top="0.75" bottom="0.75" header="0.3" footer="0.3"/>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27"/>
  <sheetViews>
    <sheetView showGridLines="0" workbookViewId="0">
      <pane ySplit="3" topLeftCell="A4" activePane="bottomLeft" state="frozen"/>
      <selection pane="bottomLeft"/>
    </sheetView>
  </sheetViews>
  <sheetFormatPr defaultRowHeight="15"/>
  <cols>
    <col min="1" max="1" width="22.7109375" customWidth="1"/>
    <col min="2" max="8" width="14.7109375" customWidth="1"/>
    <col min="9" max="18" width="11.7109375" customWidth="1"/>
    <col min="19" max="19" width="34.7109375" customWidth="1"/>
  </cols>
  <sheetData>
    <row r="1" spans="1:19">
      <c r="A1" s="10" t="s">
        <v>148</v>
      </c>
      <c r="B1" s="10"/>
      <c r="C1" s="10"/>
      <c r="D1" s="10"/>
      <c r="E1" s="10"/>
      <c r="F1" s="10"/>
      <c r="G1" s="10"/>
      <c r="H1" s="10"/>
      <c r="I1" s="10"/>
      <c r="J1" s="10"/>
      <c r="K1" s="10"/>
      <c r="L1" s="10"/>
      <c r="M1" s="10"/>
      <c r="N1" s="10"/>
      <c r="O1" s="10"/>
      <c r="P1" s="10"/>
      <c r="Q1" s="10"/>
      <c r="R1" s="10"/>
      <c r="S1" s="10"/>
    </row>
    <row r="2" spans="1:19">
      <c r="A2" s="11" t="s">
        <v>149</v>
      </c>
      <c r="B2" s="11"/>
      <c r="C2" s="11"/>
      <c r="D2" s="11"/>
      <c r="E2" s="11"/>
      <c r="F2" s="11"/>
      <c r="G2" s="11"/>
      <c r="H2" s="11"/>
      <c r="I2" s="11"/>
      <c r="J2" s="11"/>
      <c r="K2" s="11"/>
      <c r="L2" s="11"/>
      <c r="M2" s="11"/>
      <c r="N2" s="11"/>
      <c r="O2" s="11"/>
      <c r="P2" s="11"/>
      <c r="Q2" s="11"/>
      <c r="R2" s="11"/>
      <c r="S2" s="11"/>
    </row>
    <row r="3" spans="1:19">
      <c r="A3" s="1" t="s">
        <v>150</v>
      </c>
      <c r="B3" s="1" t="s">
        <v>151</v>
      </c>
      <c r="C3" s="1" t="s">
        <v>152</v>
      </c>
      <c r="D3" s="1" t="s">
        <v>153</v>
      </c>
      <c r="E3" s="1" t="s">
        <v>154</v>
      </c>
      <c r="F3" s="1" t="s">
        <v>155</v>
      </c>
      <c r="G3" s="1" t="s">
        <v>94</v>
      </c>
      <c r="H3" s="1" t="s">
        <v>102</v>
      </c>
      <c r="I3" s="1" t="s">
        <v>156</v>
      </c>
      <c r="J3" s="1" t="s">
        <v>157</v>
      </c>
      <c r="K3" s="1" t="s">
        <v>158</v>
      </c>
      <c r="L3" s="1" t="s">
        <v>159</v>
      </c>
      <c r="M3" s="1" t="s">
        <v>160</v>
      </c>
      <c r="N3" s="1" t="s">
        <v>161</v>
      </c>
      <c r="O3" s="1" t="s">
        <v>162</v>
      </c>
      <c r="P3" s="1" t="s">
        <v>163</v>
      </c>
      <c r="Q3" s="1" t="s">
        <v>164</v>
      </c>
      <c r="R3" s="1" t="s">
        <v>165</v>
      </c>
      <c r="S3" s="1" t="s">
        <v>166</v>
      </c>
    </row>
    <row r="4" spans="1:19">
      <c r="A4" s="5" t="s">
        <v>167</v>
      </c>
      <c r="B4" s="2" t="s">
        <v>168</v>
      </c>
      <c r="C4" s="2" t="s">
        <v>105</v>
      </c>
      <c r="D4" s="2" t="s">
        <v>169</v>
      </c>
      <c r="E4" s="2">
        <v>1</v>
      </c>
      <c r="F4" s="2">
        <v>1</v>
      </c>
      <c r="G4" s="2" t="s">
        <v>98</v>
      </c>
      <c r="H4" s="2" t="s">
        <v>105</v>
      </c>
      <c r="I4" s="2">
        <v>16</v>
      </c>
      <c r="J4" s="2">
        <v>30</v>
      </c>
      <c r="K4" s="2">
        <v>40</v>
      </c>
      <c r="L4" s="2">
        <v>2</v>
      </c>
      <c r="M4" s="2">
        <v>67</v>
      </c>
      <c r="N4" s="2">
        <v>60</v>
      </c>
      <c r="O4" s="2">
        <v>60</v>
      </c>
      <c r="P4" s="2">
        <v>5</v>
      </c>
      <c r="Q4" s="5">
        <v>1000</v>
      </c>
      <c r="R4" s="5">
        <v>1000</v>
      </c>
      <c r="S4" s="2" t="s">
        <v>170</v>
      </c>
    </row>
    <row r="5" spans="1:19" ht="76.5">
      <c r="A5" s="5" t="s">
        <v>171</v>
      </c>
      <c r="B5" s="2" t="s">
        <v>168</v>
      </c>
      <c r="C5" s="2" t="s">
        <v>105</v>
      </c>
      <c r="D5" s="2" t="s">
        <v>169</v>
      </c>
      <c r="E5" s="2">
        <v>1</v>
      </c>
      <c r="F5" s="2">
        <v>1</v>
      </c>
      <c r="G5" s="2" t="s">
        <v>98</v>
      </c>
      <c r="H5" s="2" t="s">
        <v>172</v>
      </c>
      <c r="I5" s="2">
        <v>16</v>
      </c>
      <c r="J5" s="2">
        <v>10</v>
      </c>
      <c r="K5" s="2">
        <v>5</v>
      </c>
      <c r="L5" s="2">
        <v>4</v>
      </c>
      <c r="M5" s="2">
        <v>60</v>
      </c>
      <c r="N5" s="2">
        <v>10</v>
      </c>
      <c r="O5" s="2">
        <v>20</v>
      </c>
      <c r="P5" s="2">
        <v>6</v>
      </c>
      <c r="Q5" s="5">
        <v>1000</v>
      </c>
      <c r="R5" s="5">
        <v>996</v>
      </c>
      <c r="S5" s="2" t="s">
        <v>173</v>
      </c>
    </row>
    <row r="6" spans="1:19">
      <c r="A6" s="5" t="s">
        <v>174</v>
      </c>
      <c r="B6" s="2" t="s">
        <v>168</v>
      </c>
      <c r="C6" s="2" t="s">
        <v>105</v>
      </c>
      <c r="D6" s="2" t="s">
        <v>175</v>
      </c>
      <c r="E6" s="2">
        <v>1</v>
      </c>
      <c r="F6" s="2">
        <v>1</v>
      </c>
      <c r="G6" s="2" t="s">
        <v>98</v>
      </c>
      <c r="H6" s="2" t="s">
        <v>105</v>
      </c>
      <c r="I6" s="2">
        <v>14</v>
      </c>
      <c r="J6" s="2">
        <v>10</v>
      </c>
      <c r="K6" s="2">
        <v>80</v>
      </c>
      <c r="L6" s="2">
        <v>-2</v>
      </c>
      <c r="M6" s="2">
        <v>51</v>
      </c>
      <c r="N6" s="2">
        <v>25</v>
      </c>
      <c r="O6" s="2">
        <v>120</v>
      </c>
      <c r="P6" s="2">
        <v>-5</v>
      </c>
      <c r="Q6" s="5">
        <v>998</v>
      </c>
      <c r="R6" s="5">
        <v>999</v>
      </c>
      <c r="S6" s="2" t="s">
        <v>176</v>
      </c>
    </row>
    <row r="7" spans="1:19">
      <c r="A7" s="5" t="s">
        <v>177</v>
      </c>
      <c r="B7" s="2" t="s">
        <v>168</v>
      </c>
      <c r="C7" s="2" t="s">
        <v>105</v>
      </c>
      <c r="D7" s="2" t="s">
        <v>175</v>
      </c>
      <c r="E7" s="2">
        <v>1</v>
      </c>
      <c r="F7" s="2">
        <v>1</v>
      </c>
      <c r="G7" s="2" t="s">
        <v>98</v>
      </c>
      <c r="H7" s="2" t="s">
        <v>105</v>
      </c>
      <c r="I7" s="2">
        <v>21</v>
      </c>
      <c r="J7" s="2">
        <v>80</v>
      </c>
      <c r="K7" s="2">
        <v>65</v>
      </c>
      <c r="L7" s="2">
        <v>2</v>
      </c>
      <c r="M7" s="2">
        <v>86</v>
      </c>
      <c r="N7" s="2">
        <v>135</v>
      </c>
      <c r="O7" s="2">
        <v>115</v>
      </c>
      <c r="P7" s="2">
        <v>5</v>
      </c>
      <c r="Q7" s="5">
        <v>1000</v>
      </c>
      <c r="R7" s="5">
        <v>1001</v>
      </c>
      <c r="S7" s="2" t="s">
        <v>178</v>
      </c>
    </row>
    <row r="8" spans="1:19">
      <c r="A8" s="5" t="s">
        <v>179</v>
      </c>
      <c r="B8" s="2" t="s">
        <v>168</v>
      </c>
      <c r="C8" s="2" t="s">
        <v>105</v>
      </c>
      <c r="D8" s="2" t="s">
        <v>175</v>
      </c>
      <c r="E8" s="2">
        <v>1</v>
      </c>
      <c r="F8" s="2">
        <v>1</v>
      </c>
      <c r="G8" s="2" t="s">
        <v>100</v>
      </c>
      <c r="H8" s="2" t="s">
        <v>105</v>
      </c>
      <c r="I8" s="2">
        <v>16</v>
      </c>
      <c r="J8" s="2">
        <v>75</v>
      </c>
      <c r="K8" s="2">
        <v>20</v>
      </c>
      <c r="L8" s="2">
        <v>-1</v>
      </c>
      <c r="M8" s="2">
        <v>70</v>
      </c>
      <c r="N8" s="2">
        <v>165</v>
      </c>
      <c r="O8" s="2">
        <v>25</v>
      </c>
      <c r="P8" s="2">
        <v>0</v>
      </c>
      <c r="Q8" s="5">
        <v>1000</v>
      </c>
      <c r="R8" s="5">
        <v>998</v>
      </c>
      <c r="S8" s="2" t="s">
        <v>180</v>
      </c>
    </row>
    <row r="9" spans="1:19">
      <c r="A9" s="5" t="s">
        <v>181</v>
      </c>
      <c r="B9" s="2" t="s">
        <v>168</v>
      </c>
      <c r="C9" s="2" t="s">
        <v>105</v>
      </c>
      <c r="D9" s="2" t="s">
        <v>175</v>
      </c>
      <c r="E9" s="2">
        <v>1</v>
      </c>
      <c r="F9" s="2">
        <v>2</v>
      </c>
      <c r="G9" s="2" t="s">
        <v>99</v>
      </c>
      <c r="H9" s="2" t="s">
        <v>105</v>
      </c>
      <c r="I9" s="2">
        <v>13</v>
      </c>
      <c r="J9" s="2">
        <v>45</v>
      </c>
      <c r="K9" s="2">
        <v>30</v>
      </c>
      <c r="L9" s="2">
        <v>7</v>
      </c>
      <c r="M9" s="2">
        <v>56</v>
      </c>
      <c r="N9" s="2">
        <v>90</v>
      </c>
      <c r="O9" s="2">
        <v>50</v>
      </c>
      <c r="P9" s="2">
        <v>23</v>
      </c>
      <c r="Q9" s="5">
        <v>1001</v>
      </c>
      <c r="R9" s="5">
        <v>1005</v>
      </c>
      <c r="S9" s="2" t="s">
        <v>182</v>
      </c>
    </row>
    <row r="10" spans="1:19">
      <c r="A10" s="5" t="s">
        <v>183</v>
      </c>
      <c r="B10" s="2" t="s">
        <v>168</v>
      </c>
      <c r="C10" s="2" t="s">
        <v>105</v>
      </c>
      <c r="D10" s="2" t="s">
        <v>169</v>
      </c>
      <c r="E10" s="2">
        <v>1</v>
      </c>
      <c r="F10" s="2">
        <v>3</v>
      </c>
      <c r="G10" s="2" t="s">
        <v>98</v>
      </c>
      <c r="H10" s="2" t="s">
        <v>105</v>
      </c>
      <c r="I10" s="2">
        <v>13</v>
      </c>
      <c r="J10" s="2">
        <v>45</v>
      </c>
      <c r="K10" s="2">
        <v>30</v>
      </c>
      <c r="L10" s="2">
        <v>0</v>
      </c>
      <c r="M10" s="2">
        <v>52</v>
      </c>
      <c r="N10" s="2">
        <v>80</v>
      </c>
      <c r="O10" s="2">
        <v>45</v>
      </c>
      <c r="P10" s="2">
        <v>0</v>
      </c>
      <c r="Q10" s="5">
        <v>1004</v>
      </c>
      <c r="R10" s="5">
        <v>998</v>
      </c>
      <c r="S10" s="2" t="s">
        <v>184</v>
      </c>
    </row>
    <row r="11" spans="1:19">
      <c r="A11" s="5" t="s">
        <v>185</v>
      </c>
      <c r="B11" s="2" t="s">
        <v>168</v>
      </c>
      <c r="C11" s="2" t="s">
        <v>105</v>
      </c>
      <c r="D11" s="2" t="s">
        <v>169</v>
      </c>
      <c r="E11" s="2">
        <v>1</v>
      </c>
      <c r="F11" s="2">
        <v>1</v>
      </c>
      <c r="G11" s="2" t="s">
        <v>98</v>
      </c>
      <c r="H11" s="2" t="s">
        <v>129</v>
      </c>
      <c r="I11" s="2">
        <v>12</v>
      </c>
      <c r="J11" s="2">
        <v>50</v>
      </c>
      <c r="K11" s="2">
        <v>25</v>
      </c>
      <c r="L11" s="2">
        <v>7</v>
      </c>
      <c r="M11" s="2">
        <v>53</v>
      </c>
      <c r="N11" s="2">
        <v>90</v>
      </c>
      <c r="O11" s="2">
        <v>45</v>
      </c>
      <c r="P11" s="2">
        <v>16</v>
      </c>
      <c r="Q11" s="5">
        <v>1000</v>
      </c>
      <c r="R11" s="5">
        <v>1004</v>
      </c>
      <c r="S11" s="2" t="s">
        <v>186</v>
      </c>
    </row>
    <row r="12" spans="1:19">
      <c r="A12" s="5" t="s">
        <v>187</v>
      </c>
      <c r="B12" s="2" t="s">
        <v>168</v>
      </c>
      <c r="C12" s="2" t="s">
        <v>105</v>
      </c>
      <c r="D12" s="2" t="s">
        <v>175</v>
      </c>
      <c r="E12" s="2">
        <v>1</v>
      </c>
      <c r="F12" s="2">
        <v>1</v>
      </c>
      <c r="G12" s="2" t="s">
        <v>98</v>
      </c>
      <c r="H12" s="2" t="s">
        <v>105</v>
      </c>
      <c r="I12" s="2">
        <v>25</v>
      </c>
      <c r="J12" s="2">
        <v>95</v>
      </c>
      <c r="K12" s="2">
        <v>25</v>
      </c>
      <c r="L12" s="2">
        <v>-5</v>
      </c>
      <c r="M12" s="2">
        <v>105</v>
      </c>
      <c r="N12" s="2">
        <v>165</v>
      </c>
      <c r="O12" s="2">
        <v>35</v>
      </c>
      <c r="P12" s="2">
        <v>-21</v>
      </c>
      <c r="Q12" s="5">
        <v>1002</v>
      </c>
      <c r="R12" s="5">
        <v>1004</v>
      </c>
      <c r="S12" s="2" t="s">
        <v>188</v>
      </c>
    </row>
    <row r="13" spans="1:19">
      <c r="A13" s="5" t="s">
        <v>189</v>
      </c>
      <c r="B13" s="2" t="s">
        <v>190</v>
      </c>
      <c r="C13" s="2" t="s">
        <v>191</v>
      </c>
      <c r="D13" s="2" t="s">
        <v>175</v>
      </c>
      <c r="E13" s="2">
        <v>2</v>
      </c>
      <c r="F13" s="2">
        <v>5</v>
      </c>
      <c r="G13" s="2" t="s">
        <v>98</v>
      </c>
      <c r="H13" s="2" t="s">
        <v>105</v>
      </c>
      <c r="I13" s="2">
        <v>18</v>
      </c>
      <c r="J13" s="2">
        <v>80</v>
      </c>
      <c r="K13" s="2">
        <v>25</v>
      </c>
      <c r="L13" s="2">
        <v>-2</v>
      </c>
      <c r="M13" s="2">
        <v>75</v>
      </c>
      <c r="N13" s="2">
        <v>145</v>
      </c>
      <c r="O13" s="2">
        <v>40</v>
      </c>
      <c r="P13" s="2">
        <v>-5</v>
      </c>
      <c r="Q13" s="5">
        <v>998</v>
      </c>
      <c r="R13" s="5">
        <v>999</v>
      </c>
      <c r="S13" s="2" t="s">
        <v>192</v>
      </c>
    </row>
    <row r="14" spans="1:19">
      <c r="A14" s="5" t="s">
        <v>193</v>
      </c>
      <c r="B14" s="2" t="s">
        <v>190</v>
      </c>
      <c r="C14" s="2" t="s">
        <v>194</v>
      </c>
      <c r="D14" s="2" t="s">
        <v>169</v>
      </c>
      <c r="E14" s="2">
        <v>2</v>
      </c>
      <c r="F14" s="2">
        <v>4</v>
      </c>
      <c r="G14" s="2" t="s">
        <v>98</v>
      </c>
      <c r="H14" s="2" t="s">
        <v>105</v>
      </c>
      <c r="I14" s="2">
        <v>12</v>
      </c>
      <c r="J14" s="2">
        <v>75</v>
      </c>
      <c r="K14" s="2">
        <v>25</v>
      </c>
      <c r="L14" s="2">
        <v>0</v>
      </c>
      <c r="M14" s="2">
        <v>47</v>
      </c>
      <c r="N14" s="2">
        <v>120</v>
      </c>
      <c r="O14" s="2">
        <v>40</v>
      </c>
      <c r="P14" s="2">
        <v>0</v>
      </c>
      <c r="Q14" s="5">
        <v>1000</v>
      </c>
      <c r="R14" s="5">
        <v>998</v>
      </c>
      <c r="S14" s="2" t="s">
        <v>195</v>
      </c>
    </row>
    <row r="15" spans="1:19">
      <c r="A15" s="5" t="s">
        <v>196</v>
      </c>
      <c r="B15" s="2" t="s">
        <v>190</v>
      </c>
      <c r="C15" s="2" t="s">
        <v>191</v>
      </c>
      <c r="D15" s="2" t="s">
        <v>169</v>
      </c>
      <c r="E15" s="2">
        <v>2</v>
      </c>
      <c r="F15" s="2">
        <v>3</v>
      </c>
      <c r="G15" s="2" t="s">
        <v>98</v>
      </c>
      <c r="H15" s="2" t="s">
        <v>105</v>
      </c>
      <c r="I15" s="2">
        <v>11</v>
      </c>
      <c r="J15" s="2">
        <v>20</v>
      </c>
      <c r="K15" s="2">
        <v>35</v>
      </c>
      <c r="L15" s="2">
        <v>2</v>
      </c>
      <c r="M15" s="2">
        <v>46</v>
      </c>
      <c r="N15" s="2">
        <v>35</v>
      </c>
      <c r="O15" s="2">
        <v>50</v>
      </c>
      <c r="P15" s="2">
        <v>0</v>
      </c>
      <c r="Q15" s="5">
        <v>1001</v>
      </c>
      <c r="R15" s="5">
        <v>1000</v>
      </c>
      <c r="S15" s="2" t="s">
        <v>197</v>
      </c>
    </row>
    <row r="16" spans="1:19">
      <c r="A16" s="5" t="s">
        <v>198</v>
      </c>
      <c r="B16" s="2" t="s">
        <v>190</v>
      </c>
      <c r="C16" s="2" t="s">
        <v>194</v>
      </c>
      <c r="D16" s="2" t="s">
        <v>169</v>
      </c>
      <c r="E16" s="2">
        <v>2</v>
      </c>
      <c r="F16" s="2">
        <v>4</v>
      </c>
      <c r="G16" s="2" t="s">
        <v>98</v>
      </c>
      <c r="H16" s="2" t="s">
        <v>110</v>
      </c>
      <c r="I16" s="2">
        <v>5</v>
      </c>
      <c r="J16" s="2">
        <v>40</v>
      </c>
      <c r="K16" s="2">
        <v>0</v>
      </c>
      <c r="L16" s="2">
        <v>0</v>
      </c>
      <c r="M16" s="2">
        <v>15</v>
      </c>
      <c r="N16" s="2">
        <v>60</v>
      </c>
      <c r="O16" s="2">
        <v>0</v>
      </c>
      <c r="P16" s="2">
        <v>2</v>
      </c>
      <c r="Q16" s="5">
        <v>1000</v>
      </c>
      <c r="R16" s="5">
        <v>1000</v>
      </c>
      <c r="S16" s="2" t="s">
        <v>199</v>
      </c>
    </row>
    <row r="17" spans="1:19">
      <c r="A17" s="5" t="s">
        <v>200</v>
      </c>
      <c r="B17" s="2" t="s">
        <v>190</v>
      </c>
      <c r="C17" s="2" t="s">
        <v>191</v>
      </c>
      <c r="D17" s="2" t="s">
        <v>175</v>
      </c>
      <c r="E17" s="2">
        <v>3</v>
      </c>
      <c r="F17" s="2">
        <v>5</v>
      </c>
      <c r="G17" s="2" t="s">
        <v>101</v>
      </c>
      <c r="H17" s="2" t="s">
        <v>105</v>
      </c>
      <c r="I17" s="2">
        <v>11</v>
      </c>
      <c r="J17" s="2">
        <v>125</v>
      </c>
      <c r="K17" s="2">
        <v>15</v>
      </c>
      <c r="L17" s="2">
        <v>-2</v>
      </c>
      <c r="M17" s="2">
        <v>46</v>
      </c>
      <c r="N17" s="2">
        <v>215</v>
      </c>
      <c r="O17" s="2">
        <v>25</v>
      </c>
      <c r="P17" s="2">
        <v>-5</v>
      </c>
      <c r="Q17" s="5">
        <v>998</v>
      </c>
      <c r="R17" s="5">
        <v>1001</v>
      </c>
      <c r="S17" s="2" t="s">
        <v>201</v>
      </c>
    </row>
    <row r="18" spans="1:19">
      <c r="A18" s="5" t="s">
        <v>202</v>
      </c>
      <c r="B18" s="2" t="s">
        <v>190</v>
      </c>
      <c r="C18" s="2" t="s">
        <v>194</v>
      </c>
      <c r="D18" s="2" t="s">
        <v>175</v>
      </c>
      <c r="E18" s="2">
        <v>2</v>
      </c>
      <c r="F18" s="2">
        <v>4</v>
      </c>
      <c r="G18" s="2" t="s">
        <v>98</v>
      </c>
      <c r="H18" s="2" t="s">
        <v>105</v>
      </c>
      <c r="I18" s="2">
        <v>9</v>
      </c>
      <c r="J18" s="2">
        <v>45</v>
      </c>
      <c r="K18" s="2">
        <v>80</v>
      </c>
      <c r="L18" s="2">
        <v>-3</v>
      </c>
      <c r="M18" s="2">
        <v>36</v>
      </c>
      <c r="N18" s="2">
        <v>75</v>
      </c>
      <c r="O18" s="2">
        <v>115</v>
      </c>
      <c r="P18" s="2">
        <v>-5</v>
      </c>
      <c r="Q18" s="5">
        <v>1000</v>
      </c>
      <c r="R18" s="5">
        <v>999</v>
      </c>
      <c r="S18" s="2" t="s">
        <v>203</v>
      </c>
    </row>
    <row r="20" spans="1:19">
      <c r="A20" s="1" t="s">
        <v>204</v>
      </c>
      <c r="B20" s="1"/>
    </row>
    <row r="21" spans="1:19" ht="30" customHeight="1">
      <c r="A21" s="5" t="s">
        <v>34</v>
      </c>
      <c r="B21" s="8" t="s">
        <v>205</v>
      </c>
    </row>
    <row r="22" spans="1:19" ht="30" customHeight="1">
      <c r="A22" s="5" t="s">
        <v>206</v>
      </c>
      <c r="B22" s="8" t="s">
        <v>207</v>
      </c>
    </row>
    <row r="23" spans="1:19" ht="30" customHeight="1">
      <c r="A23" s="5" t="s">
        <v>208</v>
      </c>
      <c r="B23" s="8" t="s">
        <v>209</v>
      </c>
    </row>
    <row r="24" spans="1:19" ht="30" customHeight="1">
      <c r="A24" s="5" t="s">
        <v>210</v>
      </c>
      <c r="B24" s="8" t="s">
        <v>211</v>
      </c>
    </row>
    <row r="25" spans="1:19" ht="30" customHeight="1">
      <c r="A25" s="5" t="s">
        <v>212</v>
      </c>
      <c r="B25" s="8" t="s">
        <v>213</v>
      </c>
    </row>
    <row r="26" spans="1:19" ht="30" customHeight="1">
      <c r="A26" s="5" t="s">
        <v>214</v>
      </c>
      <c r="B26" s="8" t="s">
        <v>215</v>
      </c>
    </row>
    <row r="27" spans="1:19" ht="30" customHeight="1">
      <c r="A27" s="5" t="s">
        <v>216</v>
      </c>
      <c r="B27" s="8" t="s">
        <v>217</v>
      </c>
    </row>
  </sheetData>
  <mergeCells count="2">
    <mergeCell ref="A1:S1"/>
    <mergeCell ref="A2:S2"/>
  </mergeCells>
  <pageMargins left="0.7" right="0.7" top="0.75" bottom="0.75" header="0.3" footer="0.3"/>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9"/>
  <sheetViews>
    <sheetView showGridLines="0" tabSelected="1" workbookViewId="0">
      <selection activeCell="B13" sqref="B13"/>
    </sheetView>
  </sheetViews>
  <sheetFormatPr defaultRowHeight="15"/>
  <cols>
    <col min="1" max="1" width="28.7109375" customWidth="1"/>
    <col min="2" max="2" width="22.7109375" customWidth="1"/>
    <col min="4" max="4" width="30.7109375" customWidth="1"/>
    <col min="5" max="5" width="18.7109375" customWidth="1"/>
    <col min="7" max="7" width="34.7109375" customWidth="1"/>
    <col min="8" max="8" width="20.7109375" customWidth="1"/>
  </cols>
  <sheetData>
    <row r="1" spans="1:8">
      <c r="A1" s="10" t="s">
        <v>218</v>
      </c>
      <c r="B1" s="10"/>
      <c r="C1" s="10"/>
      <c r="D1" s="10"/>
      <c r="E1" s="10"/>
      <c r="F1" s="10"/>
      <c r="G1" s="10"/>
      <c r="H1" s="10"/>
    </row>
    <row r="2" spans="1:8">
      <c r="A2" s="11" t="s">
        <v>219</v>
      </c>
      <c r="B2" s="11"/>
      <c r="C2" s="11"/>
      <c r="D2" s="11"/>
      <c r="E2" s="11"/>
      <c r="F2" s="11"/>
      <c r="G2" s="11"/>
      <c r="H2" s="11"/>
    </row>
    <row r="3" spans="1:8">
      <c r="A3" s="12" t="s">
        <v>220</v>
      </c>
      <c r="B3" s="12"/>
      <c r="D3" s="12" t="s">
        <v>221</v>
      </c>
      <c r="E3" s="12"/>
      <c r="G3" s="12" t="s">
        <v>222</v>
      </c>
      <c r="H3" s="12"/>
    </row>
    <row r="4" spans="1:8">
      <c r="A4" s="2" t="s">
        <v>223</v>
      </c>
      <c r="B4" s="6" t="s">
        <v>167</v>
      </c>
      <c r="D4" s="2" t="s">
        <v>224</v>
      </c>
      <c r="E4" s="4">
        <f>ROUND(AttackCoeff*(H4/100)^AttackExp,0)+IF(H4&gt;HighThreshold,ROUND(HighCap*(1-EXP(-(H4-HighThreshold)/HighDecay)),0),0)</f>
        <v>350</v>
      </c>
      <c r="G4" s="2" t="s">
        <v>225</v>
      </c>
      <c r="H4" s="4">
        <f>100*B5/B22</f>
        <v>100</v>
      </c>
    </row>
    <row r="5" spans="1:8">
      <c r="A5" s="2" t="s">
        <v>226</v>
      </c>
      <c r="B5" s="6">
        <v>67</v>
      </c>
      <c r="D5" s="2" t="s">
        <v>227</v>
      </c>
      <c r="E5" s="4">
        <f>ROUND(WTCoeff*((H11/H12)^WTExp-1),0)</f>
        <v>0</v>
      </c>
      <c r="G5" s="2" t="s">
        <v>228</v>
      </c>
      <c r="H5" s="7">
        <f>B6*(1-B17/(200+B17))</f>
        <v>45.540796963946867</v>
      </c>
    </row>
    <row r="6" spans="1:8">
      <c r="A6" s="2" t="s">
        <v>229</v>
      </c>
      <c r="B6" s="6">
        <v>60</v>
      </c>
      <c r="D6" s="2" t="s">
        <v>230</v>
      </c>
      <c r="E6" s="4">
        <f>ROUND(ROUND(DefCoeff*((H21/H18)^DefExp-1),0)*VLOOKUP(B11,RangeTable,3,FALSE),0)</f>
        <v>0</v>
      </c>
      <c r="G6" s="2" t="s">
        <v>231</v>
      </c>
      <c r="H6" s="7">
        <f>ROUND(H8*0.1,0)+H5</f>
        <v>91.54079696394686</v>
      </c>
    </row>
    <row r="7" spans="1:8">
      <c r="A7" s="2" t="s">
        <v>232</v>
      </c>
      <c r="B7" s="6">
        <v>60</v>
      </c>
      <c r="D7" s="2" t="s">
        <v>233</v>
      </c>
      <c r="E7" s="4">
        <f>IF(B7&gt;=0,ROUND(DelayCoeff*(MAX(0,H13)/100)^DelayExp,0),MAX(NegDelayRefund,-ROUND(DelayCoeff*(ABS(H13)/100)^DelayExp,0)))</f>
        <v>200</v>
      </c>
      <c r="G7" s="2" t="s">
        <v>234</v>
      </c>
      <c r="H7" s="7">
        <f>ROUND(H8*0.1,0)+B23*(1-B17/(200+B17))</f>
        <v>91.54079696394686</v>
      </c>
    </row>
    <row r="8" spans="1:8">
      <c r="A8" s="2" t="s">
        <v>235</v>
      </c>
      <c r="B8" s="6">
        <v>5</v>
      </c>
      <c r="D8" s="2" t="s">
        <v>236</v>
      </c>
      <c r="E8" s="4">
        <f>IF(B9="1H",OneHBP,0)</f>
        <v>350</v>
      </c>
      <c r="G8" s="2" t="s">
        <v>237</v>
      </c>
      <c r="H8" s="7">
        <f>B19+B20*(1-B17/(200+B17))</f>
        <v>460.72106261859585</v>
      </c>
    </row>
    <row r="9" spans="1:8">
      <c r="A9" s="2" t="s">
        <v>238</v>
      </c>
      <c r="B9" s="6" t="s">
        <v>169</v>
      </c>
      <c r="D9" s="2" t="s">
        <v>239</v>
      </c>
      <c r="E9" s="4">
        <f>ROUND(RangeBase+RangeCoeff*(B11-1)^RangeExp,0)</f>
        <v>100</v>
      </c>
      <c r="G9" s="2" t="s">
        <v>240</v>
      </c>
      <c r="H9" s="7">
        <f>H8+ExpectedAttacks*H6</f>
        <v>643.80265654648952</v>
      </c>
    </row>
    <row r="10" spans="1:8">
      <c r="A10" s="2" t="s">
        <v>241</v>
      </c>
      <c r="B10" s="6">
        <v>1</v>
      </c>
      <c r="D10" s="2" t="s">
        <v>242</v>
      </c>
      <c r="E10" s="4">
        <f>IF(OR(B29="None",B10&lt;=1),0,-MIN(E9*MinRefundCap,ROUND(MinRefundCoeff*(B10-1)^RangeExp,0)))</f>
        <v>0</v>
      </c>
      <c r="G10" s="2" t="s">
        <v>243</v>
      </c>
      <c r="H10" s="7">
        <f>H8+ExpectedAttacks*H7</f>
        <v>643.80265654648952</v>
      </c>
    </row>
    <row r="11" spans="1:8">
      <c r="A11" s="2" t="s">
        <v>91</v>
      </c>
      <c r="B11" s="6">
        <v>1</v>
      </c>
      <c r="D11" s="2" t="s">
        <v>97</v>
      </c>
      <c r="E11" s="4">
        <f>VLOOKUP(B12,PatternBPTable,4,FALSE)</f>
        <v>0</v>
      </c>
      <c r="G11" s="2" t="s">
        <v>244</v>
      </c>
      <c r="H11" s="7">
        <f>ExpectedAttacks*1000/H9</f>
        <v>3.1065420120017451</v>
      </c>
    </row>
    <row r="12" spans="1:8">
      <c r="A12" s="2" t="s">
        <v>94</v>
      </c>
      <c r="B12" s="6" t="s">
        <v>98</v>
      </c>
      <c r="D12" s="2" t="s">
        <v>245</v>
      </c>
      <c r="E12" s="4">
        <f>IFERROR(VLOOKUP(B13,PassiveBPTable,2,FALSE),"N/A")</f>
        <v>0</v>
      </c>
      <c r="G12" s="2" t="s">
        <v>246</v>
      </c>
      <c r="H12" s="7">
        <f>ExpectedAttacks*1000/H10</f>
        <v>3.1065420120017451</v>
      </c>
    </row>
    <row r="13" spans="1:8">
      <c r="A13" s="2" t="s">
        <v>102</v>
      </c>
      <c r="B13" s="6" t="s">
        <v>105</v>
      </c>
      <c r="D13" s="2" t="s">
        <v>247</v>
      </c>
      <c r="E13" s="4">
        <f>MIN(TempoCap,ROUND(TempoFactor*SQRT(MAX(0,E5)*MAX(0,E7-DelayCoeff)),0))</f>
        <v>0</v>
      </c>
      <c r="G13" s="2" t="s">
        <v>248</v>
      </c>
      <c r="H13" s="4">
        <f>IF(B7=0,0,100*(ExpectedAttacks*B7/H9)/(ExpectedAttacks*B24/H10))</f>
        <v>100</v>
      </c>
    </row>
    <row r="14" spans="1:8">
      <c r="D14" s="2" t="s">
        <v>249</v>
      </c>
      <c r="E14" s="4">
        <f>SUM(E4:E13)</f>
        <v>1000</v>
      </c>
      <c r="G14" s="2" t="s">
        <v>250</v>
      </c>
      <c r="H14" s="7">
        <f>IF((B27*(1+B18/300))&gt;=0,((B5*(1+B17/200))^2)/((B5*(1+B17/200))+(B27*(1+B18/300))),B5*(1+B17/200)+ABS(B27*(1+B18/300)))</f>
        <v>54.567021525236783</v>
      </c>
    </row>
    <row r="15" spans="1:8">
      <c r="A15" s="9" t="s">
        <v>251</v>
      </c>
      <c r="B15" s="9"/>
      <c r="D15" s="2" t="s">
        <v>252</v>
      </c>
      <c r="E15" s="4">
        <f>E14-TargetBP</f>
        <v>0</v>
      </c>
      <c r="G15" s="2" t="s">
        <v>253</v>
      </c>
      <c r="H15" s="7">
        <f>H14/B26</f>
        <v>0.17949678133301572</v>
      </c>
    </row>
    <row r="16" spans="1:8">
      <c r="A16" s="2" t="s">
        <v>254</v>
      </c>
      <c r="B16" s="6" t="s">
        <v>255</v>
      </c>
      <c r="D16" s="2" t="s">
        <v>256</v>
      </c>
      <c r="E16" s="4" t="str">
        <f>IF(B13="None",IF(ABS(E15)&lt;=50,"Near target",IF(E15&gt;50,"Over budget","Under budget")),IFERROR(IF(LEFT(VLOOKUP(B13,PassiveBPTable,3,FALSE),8)="Approved",IF(ABS(E15)&lt;=50,"Near target",IF(E15&gt;50,"Over budget","Under budget")),IF(B13="Push / Knockback 1","REVIEW: provisional Club endpoint allocation","INVALID: parked or undefined passive")),"INVALID: parked or undefined passive"))</f>
        <v>Near target</v>
      </c>
      <c r="G16" s="2" t="s">
        <v>257</v>
      </c>
      <c r="H16" s="7">
        <f>ExpectedAttacks*H14/H9*1000</f>
        <v>169.51474483795161</v>
      </c>
    </row>
    <row r="17" spans="1:8">
      <c r="A17" s="2" t="s">
        <v>258</v>
      </c>
      <c r="B17" s="6">
        <v>63.5</v>
      </c>
      <c r="G17" s="2" t="s">
        <v>259</v>
      </c>
      <c r="H17" s="7">
        <f>ExpectedAttacks*B7/H9*1000</f>
        <v>186.3925207201047</v>
      </c>
    </row>
    <row r="18" spans="1:8">
      <c r="A18" s="2" t="s">
        <v>260</v>
      </c>
      <c r="B18" s="6">
        <v>63.5</v>
      </c>
      <c r="G18" s="2" t="s">
        <v>261</v>
      </c>
      <c r="H18" s="2">
        <f>IF((H20*(1+B18/300))&gt;=0,((B22*(1+B17/200))^2)/((B22*(1+B17/200))+(H20*(1+B18/300))),B22*(1+B17/200)+ABS(H20*(1+B18/300)))</f>
        <v>54.567021525236783</v>
      </c>
    </row>
    <row r="19" spans="1:8">
      <c r="A19" s="2" t="s">
        <v>262</v>
      </c>
      <c r="B19" s="6">
        <v>400</v>
      </c>
      <c r="D19" s="9" t="s">
        <v>263</v>
      </c>
      <c r="E19" s="9"/>
      <c r="F19" s="9"/>
      <c r="G19" s="9"/>
      <c r="H19" s="9"/>
    </row>
    <row r="20" spans="1:8">
      <c r="A20" s="2" t="s">
        <v>264</v>
      </c>
      <c r="B20" s="6">
        <v>80</v>
      </c>
      <c r="D20" s="2" t="s">
        <v>265</v>
      </c>
      <c r="E20" s="3" t="str">
        <f>IF(B7&lt;NegDelayFloor,"ERROR: RT Delay below -150 floor","RT Delay floor valid")</f>
        <v>RT Delay floor valid</v>
      </c>
      <c r="G20" s="2" t="s">
        <v>266</v>
      </c>
      <c r="H20" s="4">
        <f>B21+B8</f>
        <v>45</v>
      </c>
    </row>
    <row r="21" spans="1:8">
      <c r="A21" s="2" t="s">
        <v>267</v>
      </c>
      <c r="B21" s="6">
        <v>40</v>
      </c>
      <c r="D21" s="2" t="s">
        <v>268</v>
      </c>
      <c r="E21" s="3" t="str">
        <f>IF(B10&gt;B11,"ERROR: Minimum Range exceeds Maximum Range","Range bounds valid")</f>
        <v>Range bounds valid</v>
      </c>
      <c r="G21" s="2" t="s">
        <v>269</v>
      </c>
      <c r="H21" s="4">
        <f>IF(((B21+B25)*(1+B18/300))&gt;=0,((B22*(1+B17/200))^2)/((B22*(1+B17/200))+((B21+B25)*(1+B18/300))),B22*(1+B17/200)+ABS((B21+B25)*(1+B18/300)))</f>
        <v>54.567021525236783</v>
      </c>
    </row>
    <row r="22" spans="1:8">
      <c r="A22" s="2" t="s">
        <v>270</v>
      </c>
      <c r="B22" s="6">
        <v>67</v>
      </c>
      <c r="D22" s="2" t="s">
        <v>271</v>
      </c>
      <c r="E22" s="3" t="str">
        <f>IF(B8&lt;-B21,"ERROR: Weapon Defense below balanced Armor Defense floor","Defense floor valid")</f>
        <v>Defense floor valid</v>
      </c>
    </row>
    <row r="23" spans="1:8">
      <c r="A23" s="2" t="s">
        <v>272</v>
      </c>
      <c r="B23" s="6">
        <v>60</v>
      </c>
      <c r="D23" s="2" t="s">
        <v>273</v>
      </c>
      <c r="E23" s="3" t="str">
        <f>IF(B13="None","No built-in passive.",IFERROR(IF(LEFT(VLOOKUP(B13,PassiveBPTable,3,FALSE),8)="Approved","Passive price approved for current Builder use.",IF(B13="Push / Knockback 1","REVIEW: provisional base-archetype passive allocation.","INVALID: "&amp;B13&amp;" effect and/or final BP price is not approved.")),"INVALID: "&amp;B13&amp;" effect and/or final BP price is not approved."))</f>
        <v>No built-in passive.</v>
      </c>
    </row>
    <row r="24" spans="1:8">
      <c r="A24" s="2" t="s">
        <v>274</v>
      </c>
      <c r="B24" s="6">
        <v>60</v>
      </c>
    </row>
    <row r="25" spans="1:8">
      <c r="A25" s="2" t="s">
        <v>275</v>
      </c>
      <c r="B25" s="6">
        <v>5</v>
      </c>
    </row>
    <row r="26" spans="1:8">
      <c r="A26" s="2" t="s">
        <v>276</v>
      </c>
      <c r="B26" s="6">
        <v>304</v>
      </c>
    </row>
    <row r="27" spans="1:8">
      <c r="A27" s="2" t="s">
        <v>277</v>
      </c>
      <c r="B27" s="6">
        <v>45</v>
      </c>
    </row>
    <row r="29" spans="1:8">
      <c r="A29" s="2" t="s">
        <v>278</v>
      </c>
      <c r="B29" s="6" t="s">
        <v>105</v>
      </c>
    </row>
  </sheetData>
  <mergeCells count="7">
    <mergeCell ref="A15:B15"/>
    <mergeCell ref="D19:H19"/>
    <mergeCell ref="A1:H1"/>
    <mergeCell ref="A2:H2"/>
    <mergeCell ref="A3:B3"/>
    <mergeCell ref="D3:E3"/>
    <mergeCell ref="G3:H3"/>
  </mergeCells>
  <dataValidations count="5">
    <dataValidation type="list" allowBlank="1" showInputMessage="1" showErrorMessage="1" sqref="B9" xr:uid="{00000000-0002-0000-0300-000000000000}">
      <formula1>"1H,2H"</formula1>
    </dataValidation>
    <dataValidation type="list" allowBlank="1" showInputMessage="1" showErrorMessage="1" sqref="B12" xr:uid="{00000000-0002-0000-0300-000001000000}">
      <formula1>PatternNames</formula1>
    </dataValidation>
    <dataValidation type="list" allowBlank="1" showInputMessage="1" showErrorMessage="1" sqref="B13" xr:uid="{00000000-0002-0000-0300-000002000000}">
      <formula1>PassiveNames</formula1>
    </dataValidation>
    <dataValidation type="list" allowBlank="1" showInputMessage="1" showErrorMessage="1" sqref="B16" xr:uid="{00000000-0002-0000-0300-000003000000}">
      <formula1>"Level 1,Level 99"</formula1>
    </dataValidation>
    <dataValidation type="list" allowBlank="1" showInputMessage="1" showErrorMessage="1" sqref="B29" xr:uid="{10FC5191-1E7F-4E01-9839-D703F7659F1F}">
      <formula1>"None,Direct,Arc"</formula1>
    </dataValidation>
  </dataValidations>
  <pageMargins left="0.7" right="0.7" top="0.75" bottom="0.75" header="0.3" footer="0.3"/>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31"/>
  <sheetViews>
    <sheetView showGridLines="0" workbookViewId="0"/>
  </sheetViews>
  <sheetFormatPr defaultRowHeight="15"/>
  <cols>
    <col min="1" max="1" width="18.7109375" customWidth="1"/>
    <col min="2" max="7" width="20.7109375" customWidth="1"/>
    <col min="8" max="8" width="38.7109375" customWidth="1"/>
  </cols>
  <sheetData>
    <row r="1" spans="1:8">
      <c r="A1" s="10" t="s">
        <v>279</v>
      </c>
      <c r="B1" s="10"/>
      <c r="C1" s="10"/>
      <c r="D1" s="10"/>
      <c r="E1" s="10"/>
      <c r="F1" s="10"/>
      <c r="G1" s="10"/>
      <c r="H1" s="10"/>
    </row>
    <row r="2" spans="1:8">
      <c r="A2" s="11" t="s">
        <v>280</v>
      </c>
      <c r="B2" s="11"/>
      <c r="C2" s="11"/>
      <c r="D2" s="11"/>
      <c r="E2" s="11"/>
      <c r="F2" s="11"/>
      <c r="G2" s="11"/>
      <c r="H2" s="11"/>
    </row>
    <row r="3" spans="1:8">
      <c r="A3" s="1" t="s">
        <v>277</v>
      </c>
      <c r="B3" s="1" t="s">
        <v>281</v>
      </c>
      <c r="C3" s="1" t="s">
        <v>282</v>
      </c>
      <c r="D3" s="1" t="s">
        <v>283</v>
      </c>
      <c r="E3" s="1" t="s">
        <v>284</v>
      </c>
      <c r="F3" s="1" t="s">
        <v>285</v>
      </c>
      <c r="G3" s="1" t="s">
        <v>286</v>
      </c>
      <c r="H3" s="1" t="s">
        <v>287</v>
      </c>
    </row>
    <row r="4" spans="1:8">
      <c r="A4" s="6">
        <v>-40</v>
      </c>
      <c r="B4" s="4">
        <f>IF((A4*(1+'Weapon Builder'!$B$18/300))&gt;=0,(('Weapon Builder'!$B$5*(1+'Weapon Builder'!$B$17/200))^2)/(('Weapon Builder'!$B$5*(1+'Weapon Builder'!$B$17/200))+(A4*(1+'Weapon Builder'!$B$18/300))),'Weapon Builder'!$B$5*(1+'Weapon Builder'!$B$17/200)+ABS(A4*(1+'Weapon Builder'!$B$18/300)))</f>
        <v>136.73916666666668</v>
      </c>
      <c r="C4" s="4">
        <f>B4/'Weapon Builder'!$B$26</f>
        <v>0.44979989035087725</v>
      </c>
      <c r="D4" s="4">
        <f>ExpectedAttacks*B4/'Weapon Builder'!$H$9*1000</f>
        <v>424.78596593610865</v>
      </c>
      <c r="E4" s="4">
        <f>'Weapon Builder'!$H$17</f>
        <v>186.3925207201047</v>
      </c>
      <c r="F4" s="4">
        <f>'Weapon Builder'!$H$9</f>
        <v>643.80265654648952</v>
      </c>
      <c r="G4" s="4">
        <f>'Weapon Builder'!$H$11</f>
        <v>3.1065420120017451</v>
      </c>
      <c r="H4" s="2" t="s">
        <v>288</v>
      </c>
    </row>
    <row r="5" spans="1:8">
      <c r="A5" s="6">
        <v>-20</v>
      </c>
      <c r="B5" s="4">
        <f>IF((A5*(1+'Weapon Builder'!$B$18/300))&gt;=0,(('Weapon Builder'!$B$5*(1+'Weapon Builder'!$B$17/200))^2)/(('Weapon Builder'!$B$5*(1+'Weapon Builder'!$B$17/200))+(A5*(1+'Weapon Builder'!$B$18/300))),'Weapon Builder'!$B$5*(1+'Weapon Builder'!$B$17/200)+ABS(A5*(1+'Weapon Builder'!$B$18/300)))</f>
        <v>112.50583333333333</v>
      </c>
      <c r="C5" s="4">
        <f>B5/'Weapon Builder'!$B$26</f>
        <v>0.37008497807017543</v>
      </c>
      <c r="D5" s="4">
        <f>ExpectedAttacks*B5/'Weapon Builder'!$H$9*1000</f>
        <v>349.5040978452663</v>
      </c>
      <c r="E5" s="4">
        <f>'Weapon Builder'!$H$17</f>
        <v>186.3925207201047</v>
      </c>
      <c r="F5" s="4">
        <f>'Weapon Builder'!$H$9</f>
        <v>643.80265654648952</v>
      </c>
      <c r="G5" s="4">
        <f>'Weapon Builder'!$H$11</f>
        <v>3.1065420120017451</v>
      </c>
      <c r="H5" s="2" t="s">
        <v>288</v>
      </c>
    </row>
    <row r="6" spans="1:8">
      <c r="A6" s="6">
        <v>0</v>
      </c>
      <c r="B6" s="4">
        <f>IF((A6*(1+'Weapon Builder'!$B$18/300))&gt;=0,(('Weapon Builder'!$B$5*(1+'Weapon Builder'!$B$17/200))^2)/(('Weapon Builder'!$B$5*(1+'Weapon Builder'!$B$17/200))+(A6*(1+'Weapon Builder'!$B$18/300))),'Weapon Builder'!$B$5*(1+'Weapon Builder'!$B$17/200)+ABS(A6*(1+'Weapon Builder'!$B$18/300)))</f>
        <v>88.272499999999994</v>
      </c>
      <c r="C6" s="4">
        <f>B6/'Weapon Builder'!$B$26</f>
        <v>0.29037006578947366</v>
      </c>
      <c r="D6" s="4">
        <f>ExpectedAttacks*B6/'Weapon Builder'!$H$9*1000</f>
        <v>274.22222975442401</v>
      </c>
      <c r="E6" s="4">
        <f>'Weapon Builder'!$H$17</f>
        <v>186.3925207201047</v>
      </c>
      <c r="F6" s="4">
        <f>'Weapon Builder'!$H$9</f>
        <v>643.80265654648952</v>
      </c>
      <c r="G6" s="4">
        <f>'Weapon Builder'!$H$11</f>
        <v>3.1065420120017451</v>
      </c>
      <c r="H6" s="2" t="s">
        <v>288</v>
      </c>
    </row>
    <row r="7" spans="1:8">
      <c r="A7" s="6">
        <v>20</v>
      </c>
      <c r="B7" s="4">
        <f>IF((A7*(1+'Weapon Builder'!$B$18/300))&gt;=0,(('Weapon Builder'!$B$5*(1+'Weapon Builder'!$B$17/200))^2)/(('Weapon Builder'!$B$5*(1+'Weapon Builder'!$B$17/200))+(A7*(1+'Weapon Builder'!$B$18/300))),'Weapon Builder'!$B$5*(1+'Weapon Builder'!$B$17/200)+ABS(A7*(1+'Weapon Builder'!$B$18/300)))</f>
        <v>69.25893551815831</v>
      </c>
      <c r="C7" s="4">
        <f>B7/'Weapon Builder'!$B$26</f>
        <v>0.22782544578341549</v>
      </c>
      <c r="D7" s="4">
        <f>ExpectedAttacks*B7/'Weapon Builder'!$H$9*1000</f>
        <v>215.15579289367864</v>
      </c>
      <c r="E7" s="4">
        <f>'Weapon Builder'!$H$17</f>
        <v>186.3925207201047</v>
      </c>
      <c r="F7" s="4">
        <f>'Weapon Builder'!$H$9</f>
        <v>643.80265654648952</v>
      </c>
      <c r="G7" s="4">
        <f>'Weapon Builder'!$H$11</f>
        <v>3.1065420120017451</v>
      </c>
      <c r="H7" s="2" t="s">
        <v>288</v>
      </c>
    </row>
    <row r="8" spans="1:8">
      <c r="A8" s="6">
        <v>45</v>
      </c>
      <c r="B8" s="4">
        <f>IF((A8*(1+'Weapon Builder'!$B$18/300))&gt;=0,(('Weapon Builder'!$B$5*(1+'Weapon Builder'!$B$17/200))^2)/(('Weapon Builder'!$B$5*(1+'Weapon Builder'!$B$17/200))+(A8*(1+'Weapon Builder'!$B$18/300))),'Weapon Builder'!$B$5*(1+'Weapon Builder'!$B$17/200)+ABS(A8*(1+'Weapon Builder'!$B$18/300)))</f>
        <v>54.567021525236783</v>
      </c>
      <c r="C8" s="4">
        <f>B8/'Weapon Builder'!$B$26</f>
        <v>0.17949678133301572</v>
      </c>
      <c r="D8" s="4">
        <f>ExpectedAttacks*B8/'Weapon Builder'!$H$9*1000</f>
        <v>169.51474483795161</v>
      </c>
      <c r="E8" s="4">
        <f>'Weapon Builder'!$H$17</f>
        <v>186.3925207201047</v>
      </c>
      <c r="F8" s="4">
        <f>'Weapon Builder'!$H$9</f>
        <v>643.80265654648952</v>
      </c>
      <c r="G8" s="4">
        <f>'Weapon Builder'!$H$11</f>
        <v>3.1065420120017451</v>
      </c>
      <c r="H8" s="2" t="s">
        <v>288</v>
      </c>
    </row>
    <row r="9" spans="1:8">
      <c r="A9" s="6">
        <v>60</v>
      </c>
      <c r="B9" s="4">
        <f>IF((A9*(1+'Weapon Builder'!$B$18/300))&gt;=0,(('Weapon Builder'!$B$5*(1+'Weapon Builder'!$B$17/200))^2)/(('Weapon Builder'!$B$5*(1+'Weapon Builder'!$B$17/200))+(A9*(1+'Weapon Builder'!$B$18/300))),'Weapon Builder'!$B$5*(1+'Weapon Builder'!$B$17/200)+ABS(A9*(1+'Weapon Builder'!$B$18/300)))</f>
        <v>48.405996404665387</v>
      </c>
      <c r="C9" s="4">
        <f>B9/'Weapon Builder'!$B$26</f>
        <v>0.15923025133113614</v>
      </c>
      <c r="D9" s="4">
        <f>ExpectedAttacks*B9/'Weapon Builder'!$H$9*1000</f>
        <v>150.37526146389845</v>
      </c>
      <c r="E9" s="4">
        <f>'Weapon Builder'!$H$17</f>
        <v>186.3925207201047</v>
      </c>
      <c r="F9" s="4">
        <f>'Weapon Builder'!$H$9</f>
        <v>643.80265654648952</v>
      </c>
      <c r="G9" s="4">
        <f>'Weapon Builder'!$H$11</f>
        <v>3.1065420120017451</v>
      </c>
      <c r="H9" s="2" t="s">
        <v>288</v>
      </c>
    </row>
    <row r="10" spans="1:8">
      <c r="A10" s="6">
        <v>90</v>
      </c>
      <c r="B10" s="4">
        <f>IF((A10*(1+'Weapon Builder'!$B$18/300))&gt;=0,(('Weapon Builder'!$B$5*(1+'Weapon Builder'!$B$17/200))^2)/(('Weapon Builder'!$B$5*(1+'Weapon Builder'!$B$17/200))+(A10*(1+'Weapon Builder'!$B$18/300))),'Weapon Builder'!$B$5*(1+'Weapon Builder'!$B$17/200)+ABS(A10*(1+'Weapon Builder'!$B$18/300)))</f>
        <v>39.488827965640006</v>
      </c>
      <c r="C10" s="4">
        <f>B10/'Weapon Builder'!$B$26</f>
        <v>0.12989746041328951</v>
      </c>
      <c r="D10" s="4">
        <f>ExpectedAttacks*B10/'Weapon Builder'!$H$9*1000</f>
        <v>122.67370307997008</v>
      </c>
      <c r="E10" s="4">
        <f>'Weapon Builder'!$H$17</f>
        <v>186.3925207201047</v>
      </c>
      <c r="F10" s="4">
        <f>'Weapon Builder'!$H$9</f>
        <v>643.80265654648952</v>
      </c>
      <c r="G10" s="4">
        <f>'Weapon Builder'!$H$11</f>
        <v>3.1065420120017451</v>
      </c>
      <c r="H10" s="2" t="s">
        <v>288</v>
      </c>
    </row>
    <row r="11" spans="1:8">
      <c r="A11" s="6">
        <v>120</v>
      </c>
      <c r="B11" s="4">
        <f>IF((A11*(1+'Weapon Builder'!$B$18/300))&gt;=0,(('Weapon Builder'!$B$5*(1+'Weapon Builder'!$B$17/200))^2)/(('Weapon Builder'!$B$5*(1+'Weapon Builder'!$B$17/200))+(A11*(1+'Weapon Builder'!$B$18/300))),'Weapon Builder'!$B$5*(1+'Weapon Builder'!$B$17/200)+ABS(A11*(1+'Weapon Builder'!$B$18/300)))</f>
        <v>33.345961789470302</v>
      </c>
      <c r="C11" s="4">
        <f>B11/'Weapon Builder'!$B$26</f>
        <v>0.1096906637811523</v>
      </c>
      <c r="D11" s="4">
        <f>ExpectedAttacks*B11/'Weapon Builder'!$H$9*1000</f>
        <v>103.59063122959439</v>
      </c>
      <c r="E11" s="4">
        <f>'Weapon Builder'!$H$17</f>
        <v>186.3925207201047</v>
      </c>
      <c r="F11" s="4">
        <f>'Weapon Builder'!$H$9</f>
        <v>643.80265654648952</v>
      </c>
      <c r="G11" s="4">
        <f>'Weapon Builder'!$H$11</f>
        <v>3.1065420120017451</v>
      </c>
      <c r="H11" s="2" t="s">
        <v>288</v>
      </c>
    </row>
    <row r="15" spans="1:8">
      <c r="A15" s="9" t="s">
        <v>289</v>
      </c>
      <c r="B15" s="9"/>
      <c r="C15" s="9"/>
      <c r="D15" s="9"/>
      <c r="E15" s="9"/>
      <c r="F15" s="9"/>
      <c r="G15" s="9"/>
      <c r="H15" s="9"/>
    </row>
    <row r="16" spans="1:8">
      <c r="A16" s="1" t="s">
        <v>290</v>
      </c>
      <c r="B16" s="1" t="s">
        <v>291</v>
      </c>
      <c r="C16" s="1" t="s">
        <v>292</v>
      </c>
      <c r="D16" s="1" t="s">
        <v>293</v>
      </c>
      <c r="E16" s="1" t="s">
        <v>294</v>
      </c>
      <c r="F16" s="1" t="s">
        <v>282</v>
      </c>
      <c r="G16" s="1" t="s">
        <v>295</v>
      </c>
      <c r="H16" s="1" t="s">
        <v>296</v>
      </c>
    </row>
    <row r="17" spans="1:8">
      <c r="A17" s="6">
        <v>1</v>
      </c>
      <c r="B17" s="4">
        <f>A17*ExpectedAttacks</f>
        <v>2</v>
      </c>
      <c r="C17" s="4">
        <f>B17*'Weapon Builder'!$H$14</f>
        <v>109.13404305047357</v>
      </c>
      <c r="D17" s="4">
        <f>A17*'Weapon Builder'!$H$9</f>
        <v>643.80265654648952</v>
      </c>
      <c r="E17" s="4">
        <f>B17*'Weapon Builder'!$B$7</f>
        <v>120</v>
      </c>
      <c r="F17" s="4">
        <f>C17/'Weapon Builder'!$B$26</f>
        <v>0.35899356266603144</v>
      </c>
      <c r="G17" s="4">
        <f>C17/D17*1000</f>
        <v>169.51474483795161</v>
      </c>
      <c r="H17" s="4" t="str">
        <f>IF(F17&gt;=1,"Defeats benchmark target","Target survives sequence")</f>
        <v>Target survives sequence</v>
      </c>
    </row>
    <row r="18" spans="1:8">
      <c r="A18" s="6">
        <v>2</v>
      </c>
      <c r="B18" s="4">
        <f>A18*ExpectedAttacks</f>
        <v>4</v>
      </c>
      <c r="C18" s="4">
        <f>B18*'Weapon Builder'!$H$14</f>
        <v>218.26808610094713</v>
      </c>
      <c r="D18" s="4">
        <f>A18*'Weapon Builder'!$H$9</f>
        <v>1287.605313092979</v>
      </c>
      <c r="E18" s="4">
        <f>B18*'Weapon Builder'!$B$7</f>
        <v>240</v>
      </c>
      <c r="F18" s="4">
        <f>C18/'Weapon Builder'!$B$26</f>
        <v>0.71798712533206288</v>
      </c>
      <c r="G18" s="4">
        <f>C18/D18*1000</f>
        <v>169.51474483795161</v>
      </c>
      <c r="H18" s="4" t="str">
        <f>IF(F18&gt;=1,"Defeats benchmark target","Target survives sequence")</f>
        <v>Target survives sequence</v>
      </c>
    </row>
    <row r="19" spans="1:8">
      <c r="A19" s="6">
        <v>3</v>
      </c>
      <c r="B19" s="4">
        <f>A19*ExpectedAttacks</f>
        <v>6</v>
      </c>
      <c r="C19" s="4">
        <f>B19*'Weapon Builder'!$H$14</f>
        <v>327.4021291514207</v>
      </c>
      <c r="D19" s="4">
        <f>A19*'Weapon Builder'!$H$9</f>
        <v>1931.4079696394685</v>
      </c>
      <c r="E19" s="4">
        <f>B19*'Weapon Builder'!$B$7</f>
        <v>360</v>
      </c>
      <c r="F19" s="4">
        <f>C19/'Weapon Builder'!$B$26</f>
        <v>1.0769806879980943</v>
      </c>
      <c r="G19" s="4">
        <f>C19/D19*1000</f>
        <v>169.51474483795161</v>
      </c>
      <c r="H19" s="4" t="str">
        <f>IF(F19&gt;=1,"Defeats benchmark target","Target survives sequence")</f>
        <v>Defeats benchmark target</v>
      </c>
    </row>
    <row r="20" spans="1:8">
      <c r="A20" s="6">
        <v>4</v>
      </c>
      <c r="B20" s="4">
        <f>A20*ExpectedAttacks</f>
        <v>8</v>
      </c>
      <c r="C20" s="4">
        <f>B20*'Weapon Builder'!$H$14</f>
        <v>436.53617220189426</v>
      </c>
      <c r="D20" s="4">
        <f>A20*'Weapon Builder'!$H$9</f>
        <v>2575.2106261859581</v>
      </c>
      <c r="E20" s="4">
        <f>B20*'Weapon Builder'!$B$7</f>
        <v>480</v>
      </c>
      <c r="F20" s="4">
        <f>C20/'Weapon Builder'!$B$26</f>
        <v>1.4359742506641258</v>
      </c>
      <c r="G20" s="4">
        <f>C20/D20*1000</f>
        <v>169.51474483795161</v>
      </c>
      <c r="H20" s="4" t="str">
        <f>IF(F20&gt;=1,"Defeats benchmark target","Target survives sequence")</f>
        <v>Defeats benchmark target</v>
      </c>
    </row>
    <row r="21" spans="1:8">
      <c r="A21" s="6">
        <v>5</v>
      </c>
      <c r="B21" s="4">
        <f>A21*ExpectedAttacks</f>
        <v>10</v>
      </c>
      <c r="C21" s="4">
        <f>B21*'Weapon Builder'!$H$14</f>
        <v>545.67021525236783</v>
      </c>
      <c r="D21" s="4">
        <f>A21*'Weapon Builder'!$H$9</f>
        <v>3219.0132827324478</v>
      </c>
      <c r="E21" s="4">
        <f>B21*'Weapon Builder'!$B$7</f>
        <v>600</v>
      </c>
      <c r="F21" s="4">
        <f>C21/'Weapon Builder'!$B$26</f>
        <v>1.7949678133301574</v>
      </c>
      <c r="G21" s="4">
        <f>C21/D21*1000</f>
        <v>169.51474483795158</v>
      </c>
      <c r="H21" s="4" t="str">
        <f>IF(F21&gt;=1,"Defeats benchmark target","Target survives sequence")</f>
        <v>Defeats benchmark target</v>
      </c>
    </row>
    <row r="24" spans="1:8">
      <c r="A24" s="9" t="s">
        <v>297</v>
      </c>
      <c r="B24" s="9"/>
      <c r="C24" s="9"/>
      <c r="D24" s="9"/>
    </row>
    <row r="25" spans="1:8">
      <c r="A25" s="2" t="s">
        <v>298</v>
      </c>
      <c r="B25" s="3" t="str">
        <f>IF(AND('Weapon Builder'!$E$5&gt;0,'Weapon Builder'!$E$7&gt;DelayCoeff),"TRIGGERED","No")</f>
        <v>No</v>
      </c>
      <c r="C25" s="2" t="s">
        <v>299</v>
      </c>
    </row>
    <row r="26" spans="1:8">
      <c r="A26" s="2" t="s">
        <v>300</v>
      </c>
      <c r="B26" s="3" t="str">
        <f>IF(AND('Weapon Builder'!$H$4&gt;110,'Weapon Builder'!$B$11&gt;=4),"REVIEW","No")</f>
        <v>No</v>
      </c>
      <c r="C26" s="2" t="s">
        <v>301</v>
      </c>
    </row>
    <row r="27" spans="1:8">
      <c r="A27" s="2" t="s">
        <v>302</v>
      </c>
      <c r="B27" s="3" t="str">
        <f>IF(AND('Weapon Builder'!$H$4&gt;125,'Weapon Builder'!$H$6&lt;'Weapon Builder'!$H$7),"REVIEW","No")</f>
        <v>No</v>
      </c>
      <c r="C27" s="2" t="s">
        <v>303</v>
      </c>
    </row>
    <row r="28" spans="1:8" ht="137.25">
      <c r="A28" s="2" t="s">
        <v>304</v>
      </c>
      <c r="B28" s="3" t="str">
        <f>IF(OR('Weapon Builder'!$B$12&lt;&gt;"Single",IFERROR(ISNUMBER(SEARCH("per successful hit",VLOOKUP('Weapon Builder'!$B$13,PassiveBPTable,3,FALSE))),FALSE),IFERROR(ISNUMBER(SEARCH("per qualifying damage hit",VLOOKUP('Weapon Builder'!$B$13,PassiveBPTable,3,FALSE))),FALSE)),"REVIEW","No")</f>
        <v>No</v>
      </c>
      <c r="C28" s="2" t="s">
        <v>305</v>
      </c>
    </row>
    <row r="29" spans="1:8">
      <c r="A29" s="2" t="s">
        <v>306</v>
      </c>
      <c r="B29" s="3" t="str">
        <f>IF('Weapon Builder'!$B$7&lt;NegDelayFloor,"ERROR","Valid")</f>
        <v>Valid</v>
      </c>
      <c r="C29" s="2" t="s">
        <v>307</v>
      </c>
    </row>
    <row r="30" spans="1:8" ht="45.75">
      <c r="A30" s="2" t="s">
        <v>308</v>
      </c>
      <c r="B30" s="3" t="str">
        <f>IF('Weapon Builder'!$B$8&lt;-'Weapon Builder'!$B$21,"ERROR","Valid")</f>
        <v>Valid</v>
      </c>
      <c r="C30" s="2" t="s">
        <v>309</v>
      </c>
    </row>
    <row r="31" spans="1:8" ht="45.75">
      <c r="A31" s="2" t="s">
        <v>310</v>
      </c>
      <c r="B31" s="3" t="str">
        <f>IF(AND('Weapon Builder'!$B$29="None",'Weapon Builder'!$B$10&gt;1),"ERROR","Valid")</f>
        <v>Valid</v>
      </c>
      <c r="C31" s="2" t="s">
        <v>311</v>
      </c>
    </row>
  </sheetData>
  <mergeCells count="4">
    <mergeCell ref="A1:H1"/>
    <mergeCell ref="A2:H2"/>
    <mergeCell ref="A15:H15"/>
    <mergeCell ref="A24:D24"/>
  </mergeCells>
  <pageMargins left="0.7" right="0.7" top="0.75" bottom="0.75" header="0.3" footer="0.3"/>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27"/>
  <sheetViews>
    <sheetView showGridLines="0" workbookViewId="0">
      <selection activeCell="A14" sqref="A14"/>
    </sheetView>
  </sheetViews>
  <sheetFormatPr defaultRowHeight="15"/>
  <cols>
    <col min="1" max="1" width="34.7109375" customWidth="1"/>
    <col min="2" max="2" width="28.7109375" customWidth="1"/>
    <col min="3" max="3" width="38.140625" customWidth="1"/>
  </cols>
  <sheetData>
    <row r="1" spans="1:3">
      <c r="A1" s="10" t="s">
        <v>312</v>
      </c>
      <c r="B1" s="10"/>
      <c r="C1" s="10"/>
    </row>
    <row r="2" spans="1:3">
      <c r="A2" s="11" t="s">
        <v>313</v>
      </c>
      <c r="B2" s="11"/>
      <c r="C2" s="11"/>
    </row>
    <row r="3" spans="1:3">
      <c r="A3" s="1" t="s">
        <v>314</v>
      </c>
      <c r="B3" s="1" t="s">
        <v>34</v>
      </c>
      <c r="C3" s="1" t="s">
        <v>315</v>
      </c>
    </row>
    <row r="4" spans="1:3" ht="30.75">
      <c r="A4" s="5" t="s">
        <v>316</v>
      </c>
      <c r="B4" s="5" t="s">
        <v>317</v>
      </c>
      <c r="C4" s="5" t="s">
        <v>318</v>
      </c>
    </row>
    <row r="5" spans="1:3" ht="30.75">
      <c r="A5" s="5" t="s">
        <v>319</v>
      </c>
      <c r="B5" s="5" t="s">
        <v>317</v>
      </c>
      <c r="C5" s="5" t="s">
        <v>320</v>
      </c>
    </row>
    <row r="6" spans="1:3" ht="45.75">
      <c r="A6" s="5" t="s">
        <v>321</v>
      </c>
      <c r="B6" s="5" t="s">
        <v>322</v>
      </c>
      <c r="C6" s="5" t="s">
        <v>323</v>
      </c>
    </row>
    <row r="7" spans="1:3" ht="30.75">
      <c r="A7" s="5" t="s">
        <v>324</v>
      </c>
      <c r="B7" s="5" t="s">
        <v>317</v>
      </c>
      <c r="C7" s="5" t="s">
        <v>325</v>
      </c>
    </row>
    <row r="8" spans="1:3" ht="45.75">
      <c r="A8" s="5" t="s">
        <v>326</v>
      </c>
      <c r="B8" s="5" t="s">
        <v>317</v>
      </c>
      <c r="C8" s="5" t="s">
        <v>327</v>
      </c>
    </row>
    <row r="9" spans="1:3" ht="30.75">
      <c r="A9" s="3" t="s">
        <v>328</v>
      </c>
      <c r="B9" s="3" t="s">
        <v>317</v>
      </c>
      <c r="C9" s="3" t="s">
        <v>329</v>
      </c>
    </row>
    <row r="10" spans="1:3" ht="45.75">
      <c r="A10" s="5" t="s">
        <v>330</v>
      </c>
      <c r="B10" s="5" t="s">
        <v>331</v>
      </c>
      <c r="C10" s="5" t="s">
        <v>332</v>
      </c>
    </row>
    <row r="11" spans="1:3" ht="91.5">
      <c r="A11" s="5" t="s">
        <v>18</v>
      </c>
      <c r="B11" s="5" t="s">
        <v>317</v>
      </c>
      <c r="C11" s="5" t="s">
        <v>333</v>
      </c>
    </row>
    <row r="12" spans="1:3" ht="60.75">
      <c r="A12" s="3" t="s">
        <v>334</v>
      </c>
      <c r="B12" s="3" t="s">
        <v>317</v>
      </c>
      <c r="C12" s="3" t="s">
        <v>335</v>
      </c>
    </row>
    <row r="13" spans="1:3" ht="30.75">
      <c r="A13" s="5" t="s">
        <v>336</v>
      </c>
      <c r="B13" s="5" t="s">
        <v>317</v>
      </c>
      <c r="C13" s="5" t="s">
        <v>337</v>
      </c>
    </row>
    <row r="14" spans="1:3" ht="45.75">
      <c r="A14" s="5" t="s">
        <v>338</v>
      </c>
      <c r="B14" s="5" t="s">
        <v>317</v>
      </c>
      <c r="C14" s="5" t="s">
        <v>339</v>
      </c>
    </row>
    <row r="15" spans="1:3" ht="30.75">
      <c r="A15" s="5" t="s">
        <v>171</v>
      </c>
      <c r="B15" s="5" t="s">
        <v>340</v>
      </c>
      <c r="C15" s="5" t="s">
        <v>341</v>
      </c>
    </row>
    <row r="16" spans="1:3" ht="45.75">
      <c r="A16" s="5" t="s">
        <v>342</v>
      </c>
      <c r="B16" s="5" t="s">
        <v>317</v>
      </c>
      <c r="C16" s="5" t="s">
        <v>343</v>
      </c>
    </row>
    <row r="17" spans="1:3" ht="45.75">
      <c r="A17" s="5" t="s">
        <v>344</v>
      </c>
      <c r="B17" s="5" t="s">
        <v>340</v>
      </c>
      <c r="C17" s="5" t="s">
        <v>345</v>
      </c>
    </row>
    <row r="18" spans="1:3" ht="30.75">
      <c r="A18" s="5" t="s">
        <v>346</v>
      </c>
      <c r="B18" s="5" t="s">
        <v>317</v>
      </c>
      <c r="C18" s="5" t="s">
        <v>347</v>
      </c>
    </row>
    <row r="19" spans="1:3">
      <c r="A19" s="5" t="s">
        <v>348</v>
      </c>
      <c r="B19" s="5" t="str" cm="1">
        <f t="array" ref="B19">IF(SUMPRODUCT(--ISERROR('Weapon Builder'!A1:H29))+SUMPRODUCT(--ISERROR('Stress Tests'!A1:H31))+SUMPRODUCT(--ISERROR('BP Controls'!A1:D78))+SUMPRODUCT(--ISERROR(Archetypes!A1:S27))=0,"PASS","FAIL")</f>
        <v>PASS</v>
      </c>
      <c r="C19" s="5" t="str">
        <f>IF(B19="PASS","No spreadsheet formula errors detected.","Spreadsheet formula errors require review.")</f>
        <v>No spreadsheet formula errors detected.</v>
      </c>
    </row>
    <row r="20" spans="1:3" ht="30.75">
      <c r="A20" s="5" t="s">
        <v>349</v>
      </c>
      <c r="B20" s="5" t="s">
        <v>317</v>
      </c>
      <c r="C20" s="5" t="s">
        <v>350</v>
      </c>
    </row>
    <row r="21" spans="1:3" ht="45.75">
      <c r="A21" s="5" t="s">
        <v>351</v>
      </c>
      <c r="B21" s="5" t="s">
        <v>317</v>
      </c>
      <c r="C21" s="5" t="s">
        <v>352</v>
      </c>
    </row>
    <row r="22" spans="1:3" ht="30.75">
      <c r="A22" s="5" t="s">
        <v>353</v>
      </c>
      <c r="B22" s="5" t="str">
        <f>IF(AND('Weapon Builder'!B4="Sword",'Weapon Builder'!B13="None",ABS('Weapon Builder'!E14-TargetBP)&lt;=1),"PASS","REVIEW")</f>
        <v>PASS</v>
      </c>
      <c r="C22" s="5" t="str">
        <f>IF(B22="PASS","Level 99 Sword reproduces the working approximately 1,000 BP endpoint.","Default Sword inputs or BP result require review.")</f>
        <v>Level 99 Sword reproduces the working approximately 1,000 BP endpoint.</v>
      </c>
    </row>
    <row r="23" spans="1:3" ht="30.75">
      <c r="A23" s="5" t="s">
        <v>354</v>
      </c>
      <c r="B23" s="5" t="s">
        <v>317</v>
      </c>
      <c r="C23" s="5" t="s">
        <v>355</v>
      </c>
    </row>
    <row r="24" spans="1:3">
      <c r="A24" s="5"/>
      <c r="B24" s="5"/>
      <c r="C24" s="5"/>
    </row>
    <row r="25" spans="1:3">
      <c r="A25" s="5"/>
      <c r="B25" s="5"/>
      <c r="C25" s="5"/>
    </row>
    <row r="26" spans="1:3">
      <c r="A26" s="5"/>
      <c r="B26" s="5"/>
      <c r="C26" s="5"/>
    </row>
    <row r="27" spans="1:3">
      <c r="A27" s="5"/>
      <c r="B27" s="5"/>
      <c r="C27" s="5"/>
    </row>
  </sheetData>
  <mergeCells count="2">
    <mergeCell ref="A1:C1"/>
    <mergeCell ref="A2:C2"/>
  </mergeCells>
  <pageMargins left="0.7" right="0.7"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CTRBLXAI Weapon BP Builder v3</dc:title>
  <dc:subject>Current complete-cycle weapon BP stress tester</dc:subject>
  <dc:creator>Pilac, Elmer Valdez</dc:creator>
  <cp:keywords/>
  <dc:description/>
  <cp:lastModifiedBy/>
  <cp:revision/>
  <dcterms:created xsi:type="dcterms:W3CDTF">2026-08-03T11:51:35Z</dcterms:created>
  <dcterms:modified xsi:type="dcterms:W3CDTF">2026-08-19T13:34:47Z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94ae5-69af-439d-af88-cb521c31c0c5_Enabled">
    <vt:lpwstr>true</vt:lpwstr>
  </property>
  <property fmtid="{D5CDD505-2E9C-101B-9397-08002B2CF9AE}" pid="3" name="MSIP_Label_15394ae5-69af-439d-af88-cb521c31c0c5_SetDate">
    <vt:lpwstr>2026-08-03T11:51:35Z</vt:lpwstr>
  </property>
  <property fmtid="{D5CDD505-2E9C-101B-9397-08002B2CF9AE}" pid="4" name="MSIP_Label_15394ae5-69af-439d-af88-cb521c31c0c5_Method">
    <vt:lpwstr>Standard</vt:lpwstr>
  </property>
  <property fmtid="{D5CDD505-2E9C-101B-9397-08002B2CF9AE}" pid="5" name="MSIP_Label_15394ae5-69af-439d-af88-cb521c31c0c5_Name">
    <vt:lpwstr>DXC Internal</vt:lpwstr>
  </property>
  <property fmtid="{D5CDD505-2E9C-101B-9397-08002B2CF9AE}" pid="6" name="MSIP_Label_15394ae5-69af-439d-af88-cb521c31c0c5_SiteId">
    <vt:lpwstr>93f33571-550f-43cf-b09f-cd331338d086</vt:lpwstr>
  </property>
  <property fmtid="{D5CDD505-2E9C-101B-9397-08002B2CF9AE}" pid="7" name="MSIP_Label_15394ae5-69af-439d-af88-cb521c31c0c5_ActionId">
    <vt:lpwstr>6d1357b1-0f99-4a24-9117-40d21a177cc2</vt:lpwstr>
  </property>
  <property fmtid="{D5CDD505-2E9C-101B-9397-08002B2CF9AE}" pid="8" name="MSIP_Label_15394ae5-69af-439d-af88-cb521c31c0c5_ContentBits">
    <vt:lpwstr>0</vt:lpwstr>
  </property>
</Properties>
</file>