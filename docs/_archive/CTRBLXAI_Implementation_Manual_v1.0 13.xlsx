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0" documentId="8_{22CB7D53-7C99-4846-AB58-B6E78E200128}" xr6:coauthVersionLast="47" xr6:coauthVersionMax="47" xr10:uidLastSave="{00000000-0000-0000-0000-000000000000}"/>
  <bookViews>
    <workbookView xWindow="0" yWindow="0" windowWidth="16384" windowHeight="8192" firstSheet="5" activeTab="5" xr2:uid="{00000000-000D-0000-FFFF-FFFF00000000}"/>
  </bookViews>
  <sheets>
    <sheet name="INDEX" sheetId="1" r:id="rId1"/>
    <sheet name="01 PROJECT RULES" sheetId="2" r:id="rId2"/>
    <sheet name="02 CORE COMBAT" sheetId="3" r:id="rId3"/>
    <sheet name="03 MOVEMENT TARGETING" sheetId="4" r:id="rId4"/>
    <sheet name="04 STATUSES ELEMENTS" sheetId="5" r:id="rId5"/>
    <sheet name="05 WEAPON ITEMS" sheetId="6" r:id="rId6"/>
    <sheet name="06 SKILLS" sheetId="7" r:id="rId7"/>
    <sheet name="07 AUGMENTS" sheetId="8" r:id="rId8"/>
    <sheet name="08 DOCTRINES" sheetId="9" r:id="rId9"/>
    <sheet name="09 RACES" sheetId="10" r:id="rId10"/>
    <sheet name="10 LOOT PROGRESSION" sheetId="11" r:id="rId11"/>
    <sheet name="11 TRIGGER SAFETY" sheetId="12" r:id="rId12"/>
    <sheet name="12 RUNTIME DATA" sheetId="13" r:id="rId13"/>
    <sheet name="13 EXECUTION PIPELINES" sheetId="14" r:id="rId14"/>
    <sheet name="14 VALIDATION OPERATIONS" sheetId="15" r:id="rId15"/>
    <sheet name="15 OPEN DECISIONS" sheetId="16" r:id="rId16"/>
    <sheet name="16 CHANGELOG SOURCES" sheetId="17" r:id="rId17"/>
  </sheets>
  <definedNames>
    <definedName name="_xlnm._FilterDatabase" localSheetId="0" hidden="1">INDEX!$A$4:$D$20</definedName>
  </definedNames>
  <calcPr calcId="191028" iterateDelta="1E-4"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74" i="11" l="1"/>
  <c r="C74" i="11"/>
  <c r="B74" i="11"/>
  <c r="P32" i="10"/>
  <c r="I32" i="10"/>
  <c r="P31" i="10"/>
  <c r="I31" i="10"/>
  <c r="P30" i="10"/>
  <c r="I30" i="10"/>
  <c r="P29" i="10"/>
  <c r="I29" i="10"/>
  <c r="P28" i="10"/>
  <c r="I28" i="10"/>
  <c r="P27" i="10"/>
  <c r="I27" i="10"/>
  <c r="P26" i="10"/>
  <c r="I26" i="10"/>
  <c r="P25" i="10"/>
  <c r="I25" i="10"/>
  <c r="P24" i="10"/>
  <c r="I24" i="10"/>
  <c r="P23" i="10"/>
  <c r="I23" i="10"/>
  <c r="P22" i="10"/>
  <c r="I22" i="10"/>
  <c r="P21" i="10"/>
  <c r="I21" i="10"/>
  <c r="P20" i="10"/>
  <c r="I20" i="10"/>
  <c r="P19" i="10"/>
  <c r="I19" i="10"/>
  <c r="P18" i="10"/>
  <c r="I18" i="10"/>
  <c r="J44" i="9"/>
  <c r="K44" i="9" s="1"/>
  <c r="AF44" i="9" s="1"/>
  <c r="J43" i="9"/>
  <c r="K43" i="9" s="1"/>
  <c r="AF43" i="9" s="1"/>
  <c r="J42" i="9"/>
  <c r="K42" i="9" s="1"/>
  <c r="AF42" i="9" s="1"/>
  <c r="J41" i="9"/>
  <c r="K41" i="9" s="1"/>
  <c r="AF41" i="9" s="1"/>
  <c r="J40" i="9"/>
  <c r="K40" i="9" s="1"/>
  <c r="AF40" i="9" s="1"/>
  <c r="J39" i="9"/>
  <c r="K39" i="9" s="1"/>
  <c r="AF39" i="9" s="1"/>
  <c r="J38" i="9"/>
  <c r="K38" i="9" s="1"/>
  <c r="AF38" i="9" s="1"/>
  <c r="J37" i="9"/>
  <c r="K37" i="9" s="1"/>
  <c r="AF37" i="9" s="1"/>
  <c r="J36" i="9"/>
  <c r="K36" i="9" s="1"/>
  <c r="AF36" i="9" s="1"/>
  <c r="J35" i="9"/>
  <c r="K35" i="9" s="1"/>
  <c r="AF35" i="9" s="1"/>
  <c r="J34" i="9"/>
  <c r="K34" i="9" s="1"/>
  <c r="AF34" i="9" s="1"/>
  <c r="J33" i="9"/>
  <c r="K33" i="9" s="1"/>
  <c r="AF33" i="9" s="1"/>
  <c r="J32" i="9"/>
  <c r="K32" i="9" s="1"/>
  <c r="AF32" i="9" s="1"/>
  <c r="J31" i="9"/>
  <c r="K31" i="9" s="1"/>
  <c r="AF31" i="9" s="1"/>
  <c r="J30" i="9"/>
  <c r="K30" i="9" s="1"/>
  <c r="AF30" i="9" s="1"/>
  <c r="D77" i="6"/>
  <c r="D76" i="6"/>
  <c r="D75" i="6"/>
  <c r="D74" i="6"/>
  <c r="D73" i="6"/>
  <c r="D72" i="6"/>
  <c r="F72" i="6" l="1"/>
  <c r="E72" i="6"/>
  <c r="F73" i="6"/>
  <c r="E73" i="6"/>
  <c r="F74" i="6"/>
  <c r="E74" i="6"/>
  <c r="F75" i="6"/>
  <c r="E75" i="6"/>
  <c r="F76" i="6"/>
  <c r="E76" i="6"/>
  <c r="F77" i="6"/>
  <c r="E77" i="6"/>
  <c r="AL69" i="7"/>
  <c r="AL70" i="7"/>
  <c r="AL71" i="7"/>
  <c r="AL72" i="7"/>
  <c r="AL73" i="7"/>
  <c r="AL74" i="7"/>
  <c r="AL75" i="7"/>
  <c r="AL76" i="7"/>
  <c r="AL77" i="7"/>
  <c r="AL78" i="7"/>
  <c r="AL79" i="7"/>
  <c r="AL80" i="7"/>
  <c r="AL81" i="7"/>
  <c r="AL82" i="7"/>
  <c r="AL83" i="7"/>
  <c r="AL84" i="7"/>
  <c r="AL85" i="7"/>
  <c r="AL86" i="7"/>
  <c r="AL87" i="7"/>
  <c r="AL88" i="7"/>
  <c r="AL89" i="7"/>
  <c r="AL90" i="7"/>
  <c r="AL91" i="7"/>
  <c r="AL92" i="7"/>
  <c r="AL93" i="7"/>
  <c r="AL94" i="7"/>
  <c r="AL95" i="7"/>
  <c r="AL96" i="7"/>
  <c r="AL97" i="7"/>
  <c r="AL98" i="7"/>
  <c r="AL99" i="7"/>
  <c r="AL100" i="7"/>
  <c r="AL101" i="7"/>
  <c r="AL102" i="7"/>
  <c r="AL103" i="7"/>
  <c r="AL104" i="7"/>
  <c r="AL105" i="7"/>
  <c r="AL106" i="7"/>
  <c r="AL107" i="7"/>
  <c r="AL108" i="7"/>
  <c r="AL109" i="7"/>
  <c r="AL110" i="7"/>
  <c r="AL111" i="7"/>
  <c r="AL112" i="7"/>
  <c r="AL113" i="7"/>
  <c r="AL114" i="7"/>
  <c r="AL115" i="7"/>
  <c r="W19" i="8"/>
  <c r="W20" i="8"/>
  <c r="W21" i="8"/>
  <c r="W22" i="8"/>
  <c r="W23" i="8"/>
  <c r="W24" i="8"/>
  <c r="W25" i="8"/>
  <c r="W26" i="8"/>
  <c r="W27" i="8"/>
  <c r="W28" i="8"/>
  <c r="W29" i="8"/>
  <c r="W30" i="8"/>
  <c r="W31" i="8"/>
  <c r="W32" i="8"/>
  <c r="W33" i="8"/>
  <c r="W34" i="8"/>
  <c r="W35" i="8"/>
  <c r="W36" i="8"/>
  <c r="W37" i="8"/>
  <c r="W38" i="8"/>
  <c r="W39" i="8"/>
  <c r="W40" i="8"/>
  <c r="W41" i="8"/>
  <c r="W42" i="8"/>
  <c r="W43" i="8"/>
  <c r="W44" i="8"/>
  <c r="W45" i="8"/>
  <c r="W46" i="8"/>
  <c r="W47" i="8"/>
  <c r="W48" i="8"/>
  <c r="W49" i="8"/>
  <c r="W50" i="8"/>
  <c r="W51" i="8"/>
  <c r="W52" i="8"/>
  <c r="W53" i="8"/>
  <c r="W54" i="8"/>
  <c r="W55" i="8"/>
  <c r="W56" i="8"/>
  <c r="W57" i="8"/>
  <c r="W58" i="8"/>
  <c r="W59" i="8"/>
  <c r="W60" i="8"/>
  <c r="W61" i="8"/>
  <c r="W62" i="8"/>
  <c r="W63" i="8"/>
  <c r="W64" i="8"/>
  <c r="W65" i="8"/>
  <c r="W66" i="8"/>
  <c r="W67" i="8"/>
  <c r="W68" i="8"/>
  <c r="W69" i="8"/>
  <c r="W70" i="8"/>
  <c r="W71" i="8"/>
  <c r="W72" i="8"/>
  <c r="W73" i="8"/>
</calcChain>
</file>

<file path=xl/sharedStrings.xml><?xml version="1.0" encoding="utf-8"?>
<sst xmlns="http://schemas.openxmlformats.org/spreadsheetml/2006/main" count="7239" uniqueCount="3389">
  <si>
    <t>CTRBLXAI Implementation Manual v1.0</t>
  </si>
  <si>
    <t>Single-source implementation specification consolidated from Core Game Manual v0.9 and Architecture v4. Legacy summary sheets were not copied. Exact authored catalogs remain canonical inside this workbook.</t>
  </si>
  <si>
    <t>Order</t>
  </si>
  <si>
    <t>Worksheet</t>
  </si>
  <si>
    <t>Single responsibility</t>
  </si>
  <si>
    <t>Source scope</t>
  </si>
  <si>
    <t>01 PROJECT RULES</t>
  </si>
  <si>
    <t>Project identity, authority, locked cross-system decisions, and supersession rules.</t>
  </si>
  <si>
    <t>Manual v0.9</t>
  </si>
  <si>
    <t>02 CORE COMBAT</t>
  </si>
  <si>
    <t>Primary stats, AP/RT timeline, actions, damage resolution, and boss rules.</t>
  </si>
  <si>
    <t>03 MOVEMENT TARGETING</t>
  </si>
  <si>
    <t>Movement, elevation, displacement, selection, LoS, projectiles, and AOE.</t>
  </si>
  <si>
    <t>04 STATUSES ELEMENTS</t>
  </si>
  <si>
    <t>Elements and all current damage, control, buff, state, and transformation statuses.</t>
  </si>
  <si>
    <t>05 EQUIPMENT ITEMS</t>
  </si>
  <si>
    <t>Weapon valuation/archetypes, rarity budgets, generation rules, Titan rules, and affix seeds.</t>
  </si>
  <si>
    <t>06 SKILLS</t>
  </si>
  <si>
    <t>Unified Skill framework and the single authoritative Skill catalog.</t>
  </si>
  <si>
    <t>07 AUGMENTS</t>
  </si>
  <si>
    <t>Augment rules and the single authoritative active/parked/rejected Augment catalog.</t>
  </si>
  <si>
    <t>08 DOCTRINES</t>
  </si>
  <si>
    <t>Doctrine framework and the single authoritative Doctrine catalog.</t>
  </si>
  <si>
    <t>09 RACES</t>
  </si>
  <si>
    <t>Race tags, roster, construction rules, stats, growth, and passives.</t>
  </si>
  <si>
    <t>10 LOOT PROGRESSION</t>
  </si>
  <si>
    <t>Fortune, rewards, rarity weights, Gold, elite loot, and Guild progression.</t>
  </si>
  <si>
    <t>11 TRIGGER SAFETY</t>
  </si>
  <si>
    <t>Single authoritative recursion, event-safety, and termination rules.</t>
  </si>
  <si>
    <t>12 RUNTIME DATA</t>
  </si>
  <si>
    <t>Runtime system boundaries and data schemas.</t>
  </si>
  <si>
    <t>Architecture v4</t>
  </si>
  <si>
    <t>13 EXECUTION PIPELINES</t>
  </si>
  <si>
    <t>Command, Skill, target, damage, event, status, summon, and reward execution.</t>
  </si>
  <si>
    <t>14 VALIDATION OPERATIONS</t>
  </si>
  <si>
    <t>Generation, persistence, AI interfaces, failure handling, validation, and handoff.</t>
  </si>
  <si>
    <t>15 OPEN DECISIONS</t>
  </si>
  <si>
    <t>Explicit parked, pending, and unresolved topics only.</t>
  </si>
  <si>
    <t>16 CHANGELOG SOURCES</t>
  </si>
  <si>
    <t>Version history, authority references, inclusion ledger, and coverage audit.</t>
  </si>
  <si>
    <t>Topic</t>
  </si>
  <si>
    <t>Canonical rule</t>
  </si>
  <si>
    <t>Status</t>
  </si>
  <si>
    <t>Source</t>
  </si>
  <si>
    <t>Core identity</t>
  </si>
  <si>
    <t>Medieval-fantasy tactical RPG with RT timeline, AP turns, square-grid movement, elevation, deterministic combat, and strong status interactions.</t>
  </si>
  <si>
    <t>Locked</t>
  </si>
  <si>
    <t>Manual Overview</t>
  </si>
  <si>
    <t>Current prototype</t>
  </si>
  <si>
    <t>8x8 board is for testing only. Intended maps may range from 20x20 to 40x40 depending on battle type.</t>
  </si>
  <si>
    <t>Deployment target</t>
  </si>
  <si>
    <t>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</si>
  <si>
    <t>Obsolete terms</t>
  </si>
  <si>
    <t>Speed, SPD, FFT-style unit CT meter, Accuracy, Miss Chance, Critical Hit, RES, separate Magic Defense.</t>
  </si>
  <si>
    <t>Authority</t>
  </si>
  <si>
    <t>Skills, Augments, Doctrines, and Trigger Recursion are the authoritative detailed catalogs. Subject-rule sheets in this workbook are canonical for their domains. Archived workbooks do not override this implementation manual.</t>
  </si>
  <si>
    <t>Consolidation rule</t>
  </si>
  <si>
    <t>Most recently approved conversation decision supersedes earlier manual text when conflict exists.</t>
  </si>
  <si>
    <t>Current Decisions — unique after exact rule-text deduplication</t>
  </si>
  <si>
    <t>Guard</t>
  </si>
  <si>
    <t>Guard reduces eligible incoming final damage by 35%; maximum total Guard reduction is 80%.</t>
  </si>
  <si>
    <t>Guard exclusions</t>
  </si>
  <si>
    <t>Collision damage, fall damage, hazards, debuffs, statuses, forced movement, and other non-direct effects are not covered unless explicit.</t>
  </si>
  <si>
    <t>Guard Stability</t>
  </si>
  <si>
    <t>Guard grants a Stability bonus while active; exact value remains pending.</t>
  </si>
  <si>
    <t>Pending value</t>
  </si>
  <si>
    <t>Armor Off-Hand WT</t>
  </si>
  <si>
    <t>Passive shield Defense is free outside Guard. Armor Off-Hand WT does not increase Base RT. Guard RT adds 50% of Effective Armor Off-Hand WT.</t>
  </si>
  <si>
    <t>Off-Hand slot ownership</t>
  </si>
  <si>
    <t>A shield or Armor Off-Hand occupies the off-hand slot, uses the reserved 350 BP flexibility of a 1H setup, and is incompatible with a 2H weapon.</t>
  </si>
  <si>
    <t>Weapon WT</t>
  </si>
  <si>
    <t>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</si>
  <si>
    <t>Universal weapon passive delivery</t>
  </si>
  <si>
    <t>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</si>
  <si>
    <t>Negative Weapon Defense</t>
  </si>
  <si>
    <t>Cannot fall below negative balanced Armor Defense at the same Item Level.</t>
  </si>
  <si>
    <t>Negative RT Delay</t>
  </si>
  <si>
    <t>Minimum base RT Delay = -150; target RT cannot go below 0; maximum BP refund = -100.</t>
  </si>
  <si>
    <t>Hook</t>
  </si>
  <si>
    <t>Parked. Complete effect, compatible Skill Tags, compatible Target Rules, delivery rule, timing, and final BP price are not approved. Do not use the former 80 BP value as a current rule.</t>
  </si>
  <si>
    <t>Parked</t>
  </si>
  <si>
    <t>Weapon catalog</t>
  </si>
  <si>
    <t>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</si>
  <si>
    <t>Current / Pending Focus archetypes</t>
  </si>
  <si>
    <t>Rarity bonus BP</t>
  </si>
  <si>
    <t>Rarity determines positive BP allowance for bonus attributes only. Base weapon stats are ignored. Negative bonus BP is not permitted.</t>
  </si>
  <si>
    <t>Unique</t>
  </si>
  <si>
    <t>Authored or curated; may have bonus attributes and ignore ordinary Weapon Builder BP limits; not automatically stronger than Transcendent.</t>
  </si>
  <si>
    <t>Deployment limit</t>
  </si>
  <si>
    <t>Maximum player-controlled deployment is 7 units. Normal PvE encounters generally contain at least twice deployed player-unit count; at max deployment, approximately 14 enemies is guidance, not a formula.</t>
  </si>
  <si>
    <t>DEX Interaction Efficiency</t>
  </si>
  <si>
    <t>Map objects explicitly opt in and declare affected property. Universal DEX Interaction Efficiency is removed; object-by-object classification remains pending.</t>
  </si>
  <si>
    <t>Locked / Pending catalog</t>
  </si>
  <si>
    <t>Focus weapons</t>
  </si>
  <si>
    <t>Focus is a weapon family for Skill Card interactions. Focus provides no Spell Power and does not replace authored Skill Card Base Power. Exact Focus passive BP prices and archetypes remain pending.</t>
  </si>
  <si>
    <t>Locked / Pending prices</t>
  </si>
  <si>
    <t>Focus LoS bypass</t>
  </si>
  <si>
    <t>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</si>
  <si>
    <t>Locked effect / compatibility and price pending</t>
  </si>
  <si>
    <t>Weapon passive delivery safety</t>
  </si>
  <si>
    <t>Bleed, Raptured, and Wounded evolution can advance by no more than one stage per successful hit; a status created by an evolution cannot recursively trigger another evolution during the same hit.</t>
  </si>
  <si>
    <t>Procedural pattern conversions</t>
  </si>
  <si>
    <t>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</si>
  <si>
    <t>Impact Splash</t>
  </si>
  <si>
    <t>Projectile only. Primary Target receives 100% damage; four cardinally adjacent splash tiles receive 50% damage. Friendly fire applies under normal pattern rules. Splash is centered on the impact tile; Maximum Range does not enlarge splash.</t>
  </si>
  <si>
    <t>Extended Reach</t>
  </si>
  <si>
    <t>Extended Reach I = 150 BP for Maximum Attack Range +1; Extended Reach II = 300 BP for +2. Only one tier may roll. No global Maximum Range cap is established.</t>
  </si>
  <si>
    <t>Close-Quarters Mechanism</t>
  </si>
  <si>
    <t>Projectile ranged only. Tier I = 75 BP for Minimum Range -1; Tier II = 150 BP for -2. Final Minimum Range cannot fall below 1 and only one tier may roll.</t>
  </si>
  <si>
    <t>Rarity ladder</t>
  </si>
  <si>
    <t>Broken, Common, Uncommon, Rare, Epic, Legendary, Mythic, Transcendent, Unique. Normal procedural equipment budgets and tolerance bands are locked in Item Rarity Generation.</t>
  </si>
  <si>
    <t>Fortune formulas</t>
  </si>
  <si>
    <t>Drop, quality, rarity weighting, and Gold formulas are locked in Activities and Loot / LUK Fortune Discovery. Fortune is multiplicative, cannot unlock ineligible rarity, and cannot add slots or change categories.</t>
  </si>
  <si>
    <t>Passive Ownership and Break framework</t>
  </si>
  <si>
    <t>Locked in v0.8. Break affects only Doctrine Passive, Race Passive, Inherent Unit Perk, and Inherent Unit Drawback. Race Tags and equipment passives remain active; equipment statistics, affixes, structural properties, existing effects, Skill Cards, Augments, and summons are not disabled.</t>
  </si>
  <si>
    <t>Skill Card property inheritance</t>
  </si>
  <si>
    <t>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</si>
  <si>
    <t>Weapon Defense distinction</t>
  </si>
  <si>
    <t>Weapon Defense is not a normal procedural weapon bonus roll, but existing base Weapon Defense remains a weapon property. A Skill Card may inherit or scale from Weapon Defense only when the Card explicitly declares how it does so.</t>
  </si>
  <si>
    <t>Elite encounter identity</t>
  </si>
  <si>
    <t>Elite encounters are rare random encounter events. Fortune does not affect elite encounter appearance; it affects only the eligible reward opportunity and resulting quality after completion.</t>
  </si>
  <si>
    <t>Locked / Appearance rate pending</t>
  </si>
  <si>
    <t>Future patch versioning</t>
  </si>
  <si>
    <t>Every future manual patch must update the visible workbook title, Index manual-version entry, Version Tracking, and relevant Current Decisions / Parked Topics entries.</t>
  </si>
  <si>
    <t>Locked process</t>
  </si>
  <si>
    <t>Unified Skill Card architecture</t>
  </si>
  <si>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</si>
  <si>
    <t>Max MP and Bonus Skill Range</t>
  </si>
  <si>
    <t>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</si>
  <si>
    <t>Effective Skill Level</t>
  </si>
  <si>
    <t>Effective Skill Level = Main-hand Item Level. Every combat-capable unit requires a main-hand weapon and Doctrine; normal generated units require valid compatible Skill loadout.</t>
  </si>
  <si>
    <t>Skill timing and costs</t>
  </si>
  <si>
    <t>Every Skill declares RT Cost, MP Cost, Channel Time, and Activation Time. Any field may be zero. There are no Skill cooldowns. MP Cost scales through Effective Skill Level, not actual Max MP.</t>
  </si>
  <si>
    <t>Skill tags</t>
  </si>
  <si>
    <t>Minimal current Skill tags are Direct Damage, Healing, Shield, Buff, Debuff, Utility, Summon, Physical, Fire, Water, Ice, Electric, Earth, Dark, Holy, and Poison. Physical is default non-elemental damage attribute.</t>
  </si>
  <si>
    <t>Weapon property inheritance</t>
  </si>
  <si>
    <t>Every Skill explicitly declares which main-hand weapon properties it uses and how each is multiplied, converted, or applied. No automatic inheritance. Range, Pattern, and Projectile Type inheritance are always explicit.</t>
  </si>
  <si>
    <t>Weapon passive compatibility</t>
  </si>
  <si>
    <t>Weapon-passive compatibility is determined only by Skill effect tags and Target Rules. Each passive declares compatible tags/rules, effect, delivery frequency, timing, and restrictions.</t>
  </si>
  <si>
    <t>Break framework</t>
  </si>
  <si>
    <t>Break affects only Doctrine Passive, Race Passive, Inherent Unit Perk, and Inherent Unit Drawback. Equipment passives, equipment affixes/statistics, structural properties, Basic Attack, Skill Cards, Augments, Race Tags, existing effects, and summons remain active.</t>
  </si>
  <si>
    <t>Doctrine framework</t>
  </si>
  <si>
    <t>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</si>
  <si>
    <t>Race framework</t>
  </si>
  <si>
    <t>Each Race has name, description/tags, starting primary stats, growth rates, and one Breakable Race Passive. Starting stats total 8; growth totals 2.00; no separate race benefit/drawback fields are used in current rules. Race Tags are not Breakable.</t>
  </si>
  <si>
    <t>Focus weapon family</t>
  </si>
  <si>
    <t>Focus remains a normal weapon family using standard weapon BP target, curves, handedness, range, pattern, stat, passive, and synergy pricing. Focus is defined by a built-in passive designed to improve eligible Skill Cards.</t>
  </si>
  <si>
    <t>Locked / endpoints pending</t>
  </si>
  <si>
    <t>Steal baseline Skill</t>
  </si>
  <si>
    <t>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</si>
  <si>
    <t>Locked / reward pool parked</t>
  </si>
  <si>
    <t>Highest-priority dependency</t>
  </si>
  <si>
    <t>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</si>
  <si>
    <t>Current</t>
  </si>
  <si>
    <t>Representative Skill explicit AP Cost</t>
  </si>
  <si>
    <t>All 29 representative Skills explicitly record AP Cost. The current baseline uses 1 AP for every representative Skill under the approved global default.</t>
  </si>
  <si>
    <t>Working simulation baseline</t>
  </si>
  <si>
    <t>Representative Skill Targeting Range completeness</t>
  </si>
  <si>
    <t>Every representative Skill explicitly records its targeting-range source. All 29 have working fixed, formula-based, movement-based, or complete Weapon Range inheritance rules. No representative targeting range remains blank or marked Pending working simulation range.</t>
  </si>
  <si>
    <t>Representative Skill Augment Slot completeness</t>
  </si>
  <si>
    <t>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</si>
  <si>
    <t>Ordinary Dual-Wield Doctrine baseline</t>
  </si>
  <si>
    <t>Ordinary dual wield requires two naturally legal 1H weapons and retains 75% of each weapon’s numerical properties. Structural properties remain intact; the shared sequential Basic Attack, Knockback, passive-delivery, Break, and main-hand-only Skill-inheritance rules apply.</t>
  </si>
  <si>
    <t>Universal Skill Card Augment Slots</t>
  </si>
  <si>
    <t>All Skill Cards have exactly 2 Augment Slots. Doctrine-provided Skills use the same 2-slot rule. Skill rarity and source do not modify Augment Slot count.</t>
  </si>
  <si>
    <t>Representative Skill working targeting ranges</t>
  </si>
  <si>
    <t>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</si>
  <si>
    <t>Natural in-battle MP regeneration</t>
  </si>
  <si>
    <t>INT does not provide natural in-battle MP regeneration. Units normally begin battle at full MP. MP is restored only by explicitly authored Skills, statuses, passives, items, map objects, battle conditions, Doctrines, Augments, or other effects.</t>
  </si>
  <si>
    <t>Recharge</t>
  </si>
  <si>
    <t>Recharge immediately restores 10% Max MP, then restores 5% Max MP every 300 CT for four ticks over 1200 CT. Reapplication refreshes duration without repeating the immediate restoration.</t>
  </si>
  <si>
    <t>Mechanical Race Tag drawback</t>
  </si>
  <si>
    <t>Mechanical units have Raw Weapon WT +15%. Apply this before weapon-use scaling and STR-based Weapon WT reduction.</t>
  </si>
  <si>
    <t>Power Strike working calibration</t>
  </si>
  <si>
    <t>Power Strike uses Weapon Attack Power ×1.25 × Skill Potency Multiplier. Its previous ×1.50 coefficient is superseded.</t>
  </si>
  <si>
    <t>Weapon-use percentage hierarchy</t>
  </si>
  <si>
    <t>Natural single 1H use retains 100%; Colossal Arsenal single converted 2H use retains 75%; ordinary dual wield retains 75% per naturally 1H weapon; Titan dual wield retains 65% per normally 2H melee weapon.</t>
  </si>
  <si>
    <t>Dual-Wield Basic Attack RT</t>
  </si>
  <si>
    <t>One shared round(Modified Base RT ×0.10) component plus the Effective Reduced WT of both weapons. Dual wield does not pay two separate base-RT components.</t>
  </si>
  <si>
    <t>Doctrine fixed-choice baseline</t>
  </si>
  <si>
    <t>The baseline contains exactly 15 Doctrines. Every Doctrine has exactly 3 fixed Doctrine Skill choices and the unit selects 1 active choice. Rarity does not alter choice count; Doctrine Skills remain usable during Break and have exactly 2 Augment Slots.</t>
  </si>
  <si>
    <t>Doctrine scarcity</t>
  </si>
  <si>
    <t>Doctrines use one scarcity band comparable to Epic-to-Legendary equipment acquisition frequency. Scarcity does not alter the stat package, passive, fixed three choices, Skill profile, costs, timing, Augment Slots, or mechanics.</t>
  </si>
  <si>
    <t>Universal Augment ownership</t>
  </si>
  <si>
    <t>Skills own ordinary gameplay data only. Augments own Augment compatibility requirements, effects, costs, restrictions, and conflicts. Skills do not declare individual Augment permission lists or Augment-specific exception fields.</t>
  </si>
  <si>
    <t>Augment cost model</t>
  </si>
  <si>
    <t>Augments are optional specializations, not free upgrades. Costs may use MP, RT, Channel/Activation Time, positive weapon-scaling reduction, range, Pattern-to-Single, HP, or another concise authored sacrifice. Percentage costs multiply; flat costs apply afterward.</t>
  </si>
  <si>
    <t>Documentation-first authority</t>
  </si>
  <si>
    <t>Documentation is the project priority. Completion requires every field in the authoritative schema populated, every reference resolved, every invariant validated, all active contradictions/placeholders removed, and logical combination safety documented.</t>
  </si>
  <si>
    <t>Dedicated content authority</t>
  </si>
  <si>
    <t>Skills, Augments, Doctrines, and Trigger Recursion are the authoritative detailed worksheets. Older sheets retain summary/history only and do not override these dedicated sheets.</t>
  </si>
  <si>
    <t>Doctrine content correction</t>
  </si>
  <si>
    <t>The earlier statement that the Doctrine baseline was complete was overstated. v0.9 supplies working numerical packages, complete working passives, Doctrine-only Skill profiles, and cross-sheet references. Final numerical calibration remains working, not final balance.</t>
  </si>
  <si>
    <t>Corrective audit record</t>
  </si>
  <si>
    <t>Universal trigger and recursion baseline</t>
  </si>
  <si>
    <t>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</si>
  <si>
    <t>v0.9 Current Manual</t>
  </si>
  <si>
    <t>CTRBLXAI Core Game Manual v0.9 is current. v0.8 and earlier versions remain historical in Version Tracking.</t>
  </si>
  <si>
    <t>Core Stats  |  Source: Core Game Manual v0.9::Core Stats</t>
  </si>
  <si>
    <t>Core Stats and Derived Formulas</t>
  </si>
  <si>
    <t>Primary attributes, identities, and current formulas.</t>
  </si>
  <si>
    <t>Stat</t>
  </si>
  <si>
    <t>Identity</t>
  </si>
  <si>
    <t>Formula(s)</t>
  </si>
  <si>
    <t>Notes</t>
  </si>
  <si>
    <t>STR</t>
  </si>
  <si>
    <t>Physical power, burden reduction, RT delay, Force</t>
  </si>
  <si>
    <t>Attack Power = Weapon Damage x (1 + STR / 200)
Effective Equipment WT = Equipment WT x (1 - STR / (200 + STR))
RT Delay Bonus = Base RT Delay x (1 + min(STR / (200 + STR), 0.75))
Force = 1 + floor(STR / 60)</t>
  </si>
  <si>
    <t>Force affects displacement strength. No weapon requirements. No environmental breaking role.</t>
  </si>
  <si>
    <t>AGI</t>
  </si>
  <si>
    <t>Movement Range, Movement RT reduction, Evasiveness</t>
  </si>
  <si>
    <t>Movement Range = 3 + floor(AGI / 60) + Bonuses - Penalties
Evasiveness = AGI / (AGI + 200)</t>
  </si>
  <si>
    <t>Movement RT formula appears on Movement tab.</t>
  </si>
  <si>
    <t>INT</t>
  </si>
  <si>
    <t>Skill Potency, Max MP, Bonus Skill Range, and other explicitly authored INT interactions</t>
  </si>
  <si>
    <t>Skill Potency Multiplier = 1 + INT / (200 + INT)
Skill Potency Bonus = Skill Potency Multiplier - 1
Max MP = 20 + INT x 2
Bonus Skill Range = floor(INT / 75) + Flat Skill Range Bonuses</t>
  </si>
  <si>
    <t>INT does not provide natural in-battle MP regeneration or automatic ready-turn MP recovery. Units normally begin battle at full MP unless an authored encounter, scenario, status, map condition, or other rule says otherwise. Explicit MP recovery remains valid through authored Skills, statuses, passives, items, map objects, battle conditions, Doctrines, Augments, and other effects. Skill Potency applies only where explicitly declared. Bonus Skill Range changes targeting distance only and does not enlarge Pattern or AOE dimensions unless explicitly stated.</t>
  </si>
  <si>
    <t>VIT</t>
  </si>
  <si>
    <t>HP, healing efficiency, defense scaling, Debuff Resistance, RT delay resistance, Stability</t>
  </si>
  <si>
    <t>HP = VIT x 4
Healing Efficiency = Healing x (1 + VIT / 300)
Defense Power = Defense x (1 + VIT / 300)
Debuff Resistance Multiplier = 1 - VIT / (300 + VIT)
RT Delay Resistance = Incoming RT Delay x (1 - VIT / (300 + VIT))
Stability = 1 + floor(VIT / 60)</t>
  </si>
  <si>
    <t>Debuff Resistance applies to debuffs unless a specific rule says otherwise.</t>
  </si>
  <si>
    <t>DEX</t>
  </si>
  <si>
    <t>Precision, Jump, channel speed, and explicitly authored object interactions</t>
  </si>
  <si>
    <t>Precision = DEX / (DEX + 200)
Jump = 1 + floor(DEX / 60) + Bonuses - Penalties
Channel Time = Base Channel Time x (1 - DEX / (300 + DEX))</t>
  </si>
  <si>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</si>
  <si>
    <t>LUK</t>
  </si>
  <si>
    <t>Combat Fortune, Initiative, Discovery Radius, deterministic tie-breaking, expedition rewards</t>
  </si>
  <si>
    <t>Combat Fortune Modifier = 0.40 x Delta LUK / (abs(Delta LUK) + 150)
Starting RT = round(Base RT x (1 - 0.30 x LUK / (100 + LUK)))
Discovery Radius = 1 + floor(LUK / 60) + Bonuses - Penalties
Unit Fortune = LUK / (LUK + 200)</t>
  </si>
  <si>
    <t>At +/-150 LUK difference, Combat Fortune changes direct final damage by +/-20%. Initiative applies once at initial deployment. LUK does not modify Hit Quality, status application, or recruitment.</t>
  </si>
  <si>
    <t>Timeline AP RT  |  Source: Core Game Manual v0.9::Timeline AP RT</t>
  </si>
  <si>
    <t>CT, RT, Rounds, AP, and Turn Timing</t>
  </si>
  <si>
    <t>Canonical timing and turn economy rules.</t>
  </si>
  <si>
    <t>Rule</t>
  </si>
  <si>
    <t>CT</t>
  </si>
  <si>
    <t>Global battle clock. 1 round = 1000 CT. CT advances while battle timeline progresses and pauses during active unit decisions/resolution.</t>
  </si>
  <si>
    <t>RT</t>
  </si>
  <si>
    <t>Each unit has remaining RT. When CT advances by 1, eligible units reduce remaining RT by 1. At RT 0, unit becomes ready and CT pauses.</t>
  </si>
  <si>
    <t>Ready tie-breakers</t>
  </si>
  <si>
    <t>Higher Level, then higher AGI, then lower HP%, then higher LUK, then established stable tie order.</t>
  </si>
  <si>
    <t>Standard unit</t>
  </si>
  <si>
    <t>Base RT = 400. AP per turn = 2.</t>
  </si>
  <si>
    <t>Boss unit</t>
  </si>
  <si>
    <t>Base RT = 300. AP per turn = 3.</t>
  </si>
  <si>
    <t>Rest</t>
  </si>
  <si>
    <t>If no voluntary action is performed, or a unit involuntarily loses the turn without acting, Rest RT = round(Modified Base RT x 0.75).</t>
  </si>
  <si>
    <t>Repeated actions</t>
  </si>
  <si>
    <t>Same action category may be used multiple times if enough AP exists, except Guard may only be used once per turn and Wait/Rest ends the turn.</t>
  </si>
  <si>
    <t>Skill AP</t>
  </si>
  <si>
    <t>All Skills cost 1 AP unless an explicit approved rule says otherwise. Balance uses RT Cost, MP Cost, range, Target Rules, Channel Time, Activation Time, and effects. There are no Skill cooldowns.</t>
  </si>
  <si>
    <t>Action Economy  |  Source: Core Game Manual v0.9::Action Economy</t>
  </si>
  <si>
    <t>Action Economy and RT Costs</t>
  </si>
  <si>
    <t>AP costs, action timing, and turn-ending behavior.</t>
  </si>
  <si>
    <t>Action</t>
  </si>
  <si>
    <t>AP</t>
  </si>
  <si>
    <t>RT / Notes</t>
  </si>
  <si>
    <t>Move</t>
  </si>
  <si>
    <t>1 AP</t>
  </si>
  <si>
    <t>Movement RT based on Modified Base RT, tiles moved, and AGI.</t>
  </si>
  <si>
    <t>Basic Attack</t>
  </si>
  <si>
    <t>Basic Attack RT = round(Modified Base RT x 0.10) + Effective Weapon WT.</t>
  </si>
  <si>
    <t>Skill Card</t>
  </si>
  <si>
    <t>Uses authored Skill Card RT Cost Formula, MP Cost Formula, Channel Time, Activation Time, weapon-property inheritance, Skill Potency eligibility, projectile behavior, and special rules.</t>
  </si>
  <si>
    <t>Skill activation</t>
  </si>
  <si>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</si>
  <si>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</si>
  <si>
    <t>Item</t>
  </si>
  <si>
    <t>Default Item RT = round(Modified Base RT x 0.10). Specific items may define a custom RT cost.</t>
  </si>
  <si>
    <t>Interact</t>
  </si>
  <si>
    <t>Default Interact RT = round(Modified Base RT x 0.10). Specific map objects may define a custom RT cost. DEX may improve the interaction result where the object rule says so, but does not reduce default Interact RT unless explicitly defined.</t>
  </si>
  <si>
    <t>Wait / Rest</t>
  </si>
  <si>
    <t>0 AP</t>
  </si>
  <si>
    <t>Ends turn. Rest benefit applies only when no action was performed.</t>
  </si>
  <si>
    <t>Combat Resolution  |  Source: Core Game Manual v0.9::Combat Resolution</t>
  </si>
  <si>
    <t>Combat Resolution, Hit Quality, Defense, and Elements</t>
  </si>
  <si>
    <t>Deterministic damage and modifier rules.</t>
  </si>
  <si>
    <t>Rule / Formula</t>
  </si>
  <si>
    <t>Determinism</t>
  </si>
  <si>
    <t>No Accuracy roll, Miss chance, Critical Hit, or random damage variance.</t>
  </si>
  <si>
    <t>Same conditions produce same result.</t>
  </si>
  <si>
    <t>Global rounding rule</t>
  </si>
  <si>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</si>
  <si>
    <t>Locked.</t>
  </si>
  <si>
    <t>Minimum final damage</t>
  </si>
  <si>
    <t>Final damage may be reduced to 0 after Defense, modifiers, Hit Quality, positional modifiers, element modifiers, mitigation, and final rounding. There is no universal minimum 1 damage rule.</t>
  </si>
  <si>
    <t>Minimum damage applies only if a skill, status, weapon effect, boss rule, or special mechanic explicitly guarantees damage.</t>
  </si>
  <si>
    <t>Defense</t>
  </si>
  <si>
    <t>Defense comes from equipment and modifiers. Applies to physical and magical damage. Can go negative.</t>
  </si>
  <si>
    <t>No RES or separate Magic Defense.</t>
  </si>
  <si>
    <t>Weapon and Skill Card damage setup</t>
  </si>
  <si>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</si>
  <si>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</si>
  <si>
    <t>Skill Card elemental setup</t>
  </si>
  <si>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</si>
  <si>
    <t>Nondamaging Skills do not require a damage attribute unless the effect explicitly uses one. Unique authored exceptions may override normal elemental-conversion rules.</t>
  </si>
  <si>
    <t>Modifier stacking</t>
  </si>
  <si>
    <t>Same-category percentage modifiers stack additively. Category Multiplier = 1 + Sum Bonuses - Sum Penalties.</t>
  </si>
  <si>
    <t>Damage/healing category floor = 0.10 unless hard rule overrides.</t>
  </si>
  <si>
    <t>Damage sequence</t>
  </si>
  <si>
    <t>1. Attack Power / Skill Power
2. Defense
3. Outgoing Damage category
4. Hit Quality
5. Positional Modifier
6. Element Modifier
7. Combat Fortune
8. Guard and other final mitigation
9. Round once</t>
  </si>
  <si>
    <t>Combat Fortune applies to direct unit-to-unit damage. Damage-over-time, fall, collision, neutral hazards, terrain damage, and self-damage do not use it unless explicit.</t>
  </si>
  <si>
    <t>Hit Quality</t>
  </si>
  <si>
    <t>Precision = DEX / (DEX + 200)
Evasiveness = AGI / (AGI + 200)
Hit Quality = 1 + (Precision - Evasiveness)</t>
  </si>
  <si>
    <t>Displayed as quality tiers later.</t>
  </si>
  <si>
    <t>Elements</t>
  </si>
  <si>
    <t>Elements are tags. Default units have no weakness or resistance.</t>
  </si>
  <si>
    <t>Element modifications come from explicit rules.</t>
  </si>
  <si>
    <t>Boss Rules  |  Source: Core Game Manual v0.9::Boss Rules</t>
  </si>
  <si>
    <t>Boss Rules and Phase Breaks</t>
  </si>
  <si>
    <t>Bosses are resistant, not immune. Boss phases prevent status and RT lock abuse.</t>
  </si>
  <si>
    <t>Boss baseline</t>
  </si>
  <si>
    <t>Bosses act more often and can do more per turn than standard units.</t>
  </si>
  <si>
    <t>Debuff duration</t>
  </si>
  <si>
    <t>50% effectiveness by default. Apply boss resistance first, then round duration up using ceil() for both turn-based and CT-based durations unless a boss-specific rule overrides it.</t>
  </si>
  <si>
    <t>Bosses are resistant, not immune. Example: 3 turns x 50% = 1.5 turns, rounded up to 2 turns.</t>
  </si>
  <si>
    <t>HP%-based debuff damage</t>
  </si>
  <si>
    <t>25% effectiveness by default.</t>
  </si>
  <si>
    <t>Applies to Poison, Venom, Bleed, Raptured, Wounded, and similar future effects.</t>
  </si>
  <si>
    <t>HP%-based environmental damage</t>
  </si>
  <si>
    <t>Applies to fall damage, wall collision damage, and similar future HP%-based environmental damage unless a boss-specific rule overrides it.</t>
  </si>
  <si>
    <t>RT delay effects</t>
  </si>
  <si>
    <t>Reduced by default, target range 25% to 50% effectiveness.</t>
  </si>
  <si>
    <t>Exact value may depend on source.</t>
  </si>
  <si>
    <t>Hard-control duration</t>
  </si>
  <si>
    <t>20% effectiveness. Apply boss resistance first, then round duration up using ceil() unless a boss-specific rule overrides it.</t>
  </si>
  <si>
    <t>Hard control cannot be refreshed while already active on a boss.</t>
  </si>
  <si>
    <t>Boss Petrify</t>
  </si>
  <si>
    <t>Duration = 300 CT. Cannot be refreshed while active.</t>
  </si>
  <si>
    <t>Still applies normal Petrify protections.</t>
  </si>
  <si>
    <t>Phase thresholds</t>
  </si>
  <si>
    <t>70% HP, 40% HP, 10% HP remaining.</t>
  </si>
  <si>
    <t>Triggers each time another 30% Max HP loss threshold is crossed.</t>
  </si>
  <si>
    <t>Phase Break effects</t>
  </si>
  <si>
    <t>Boss remaining RT immediately becomes 0. Boss becomes ready to act. Active debuff durations are reduced by 50%. After this reduction, remove debuffs below 1 full turn remaining or below 300 CT remaining.</t>
  </si>
  <si>
    <t>Durations at exactly 1 turn or exactly 300 CT remain active. Phase Break triggers immediately after the damage/effect that crosses the threshold resolves.</t>
  </si>
  <si>
    <t>Boss design principle</t>
  </si>
  <si>
    <t>Debuffs work on bosses, but bosses cannot be permanently locked down.</t>
  </si>
  <si>
    <t>Individual bosses can override default rules later.</t>
  </si>
  <si>
    <t>Movement Elevation  |  Source: Core Game Manual v0.9::Movement Elevation</t>
  </si>
  <si>
    <t>Movement, Pathing, Elevation, and Displacement</t>
  </si>
  <si>
    <t>Movement budget, diagonal costs, Jump, Downward Jump, and forced displacement.</t>
  </si>
  <si>
    <t>Movement Range</t>
  </si>
  <si>
    <t>Movement Range = 3 + floor(AGI / 60) + Bonuses - Penalties</t>
  </si>
  <si>
    <t>Functions as a movement budget, not always literal tile count.</t>
  </si>
  <si>
    <t>Directions</t>
  </si>
  <si>
    <t>Cardinal step = Terrain Cost x 1.0
Diagonal step = Terrain Cost x 1.5</t>
  </si>
  <si>
    <t>All 8 directions allowed.</t>
  </si>
  <si>
    <t>Reachability</t>
  </si>
  <si>
    <t>Destination is valid if at least one legal path exists within movement budget.</t>
  </si>
  <si>
    <t>Valid destinations highlighted in blue when Move is selected.</t>
  </si>
  <si>
    <t>Route selection</t>
  </si>
  <si>
    <t>Player may select or adjust the route. Unit follows selected route exactly.</t>
  </si>
  <si>
    <t>Supports traps, tile-entry effects, hazard avoidance, and tactical paths.</t>
  </si>
  <si>
    <t>Ally occupancy</t>
  </si>
  <si>
    <t>Can move through allies, cannot end on allies.</t>
  </si>
  <si>
    <t>Prevents friendly traffic jams.</t>
  </si>
  <si>
    <t>Enemy occupancy</t>
  </si>
  <si>
    <t>Cannot move through enemies, cannot end on enemies.</t>
  </si>
  <si>
    <t>Preserves frontlines.</t>
  </si>
  <si>
    <t>Movement RT</t>
  </si>
  <si>
    <t>Base Movement RT per tile = Modified Base RT x 0.0625
Total Movement RT = round(Base Movement RT per tile x Tiles Moved x (1 - AGI / (200 + AGI)))</t>
  </si>
  <si>
    <t>Calculate total then round once.</t>
  </si>
  <si>
    <t>Elevation &amp; Displacement  |  Source: Core Game Manual v0.9::Elevation &amp; Displacement</t>
  </si>
  <si>
    <t>Elevation and Forced Displacement</t>
  </si>
  <si>
    <t>Jump, fall damage, collision, and displacement rules.</t>
  </si>
  <si>
    <t>Jump</t>
  </si>
  <si>
    <t>Jump = 1 + floor(DEX / 60) + Bonuses - Penalties</t>
  </si>
  <si>
    <t>Maximum upward elevation climb per movement step.</t>
  </si>
  <si>
    <t>Downward Jump</t>
  </si>
  <si>
    <t>Downward Jump = Jump + 2</t>
  </si>
  <si>
    <t>Only for voluntary downward movement. Not displayed as a unit stat.</t>
  </si>
  <si>
    <t>Forced upward displacement</t>
  </si>
  <si>
    <t>Cannot displace to higher elevation unless legal or explicitly allowed. Wall collision triggers if blocked.</t>
  </si>
  <si>
    <t>Applies to knockback, shove, pull unless skill overrides.</t>
  </si>
  <si>
    <t>Forced downward displacement</t>
  </si>
  <si>
    <t>Allowed. May trigger fall damage. If destination is occupied, collision and fall resolve, then nearest valid unoccupied tile is selected, RNG if tied.</t>
  </si>
  <si>
    <t>Teleport/blink/swap are separate mechanics.</t>
  </si>
  <si>
    <t>Fall damage</t>
  </si>
  <si>
    <t>Applies only when a unit is forcibly displaced downward by 3 or more elevation levels. Forced drops of 1 or 2 elevation levels cause no fall damage. Fall Damage = round(Max HP x 0.04 x (Fall Height - 2)^1.5). Fall Height is the number of elevation levels forcibly descended.</t>
  </si>
  <si>
    <t>Voluntary downward movement within Downward Jump does not cause fall damage. Teleport, blink, and swap do not count as falling unless the specific effect says otherwise. Fall damage is HP%-based damage, so boss HP%-based damage resistance applies unless overridden.</t>
  </si>
  <si>
    <t>Wall collision damage</t>
  </si>
  <si>
    <t>Wall Collision Damage = round(Target Max HP x 0.04 x Blocked Tiles x (1 + Attacker STR / 200) x Collision Impact Multiplier x Boss HP% Modifier x Knockback Source Modifier). Blocked Tiles is the number of forced movement tiles that could not be completed.</t>
  </si>
  <si>
    <t>Force does not further increase wall collision damage. Collision damage is HP%-based damage, so boss HP%-based damage resistance applies unless overridden.</t>
  </si>
  <si>
    <t>Collision impact multipliers</t>
  </si>
  <si>
    <t>Another Unit = 0.8x
Wooden Wall = 1.0x
Stone Wall = 1.2x
Pillar = 1.3x
Spikes = 1.6x</t>
  </si>
  <si>
    <t>Use the impacted object or hazard type. If a future object is not listed, define its multiplier explicitly.</t>
  </si>
  <si>
    <t>Knockback source modifier</t>
  </si>
  <si>
    <t>Global Action Push = 1.0x
Skill knockback effect = 0.5x</t>
  </si>
  <si>
    <t>Skill-based knockback collision damage is reduced by half so skills with knockback do not overtake the dedicated global push action as the main collision payoff.</t>
  </si>
  <si>
    <t>Targeting Rules  |  Source: Core Game Manual v0.9::Targeting Rules</t>
  </si>
  <si>
    <t>Targeting Rules</t>
  </si>
  <si>
    <t>Selection basis, target lock, delayed resolution, unit/tile effects, and chain behavior.</t>
  </si>
  <si>
    <t>Selected Target</t>
  </si>
  <si>
    <t>The unit, tile, object, or area chosen when the skill/action is committed. It is validated at commitment using range, LoS, Target Rules, Projectile Type, projectile minimum range, occupied tile rules, and skill-specific restrictions.</t>
  </si>
  <si>
    <t>Selected Target is what the player or AI aims at.</t>
  </si>
  <si>
    <t>Affected Targets</t>
  </si>
  <si>
    <t>The final units, tiles, objects, terrain, ground states, or areas that receive effects when the skill/action resolves.</t>
  </si>
  <si>
    <t>Affected Targets may differ from Selected Target for AOE, chain, delayed tile effects, and future terrain interactions.</t>
  </si>
  <si>
    <t>Center Tile</t>
  </si>
  <si>
    <t>The origin tile for Center Spread AOE. The effect spreads outward from this tile and may be blocked by BlocksAOE barriers.</t>
  </si>
  <si>
    <t>Use for explosions, bursts, shockwaves, clouds from impact, and similar spreading effects.</t>
  </si>
  <si>
    <t>Anchor Tile</t>
  </si>
  <si>
    <t>The reference tile used to place a Selected Area pattern. The effect does not spread outward from the anchor unless the skill says so.</t>
  </si>
  <si>
    <t>Use for rainfall zones, meteor areas, divine fields, volley zones, rune fields, and similar selected patterns.</t>
  </si>
  <si>
    <t>Single target / single tile validation</t>
  </si>
  <si>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</si>
  <si>
    <t>Targeting a unit is not the same as targeting the tile beneath that unit.</t>
  </si>
  <si>
    <t>Unit selection vs tile selection</t>
  </si>
  <si>
    <t>When a skill/action is committed, the caster selects either a valid unit or a valid tile. If a unit is selected, the unit is locked. If a tile is selected, the tile is locked.</t>
  </si>
  <si>
    <t>Selection basis determines whether delayed resolution follows a unit or stays on a tile.</t>
  </si>
  <si>
    <t>Unit-selected delayed resolution</t>
  </si>
  <si>
    <t>If a unit is selected and relocates before resolution, the skill follows the locked unit and resolves against that unit on its current tile. If the skill can affect both units and tiles, the unit receives unit-valid effects and the unit’s current tile receives tile-valid effects.</t>
  </si>
  <si>
    <t>Range, LoS, Projectile Type, projectile minimum range, and original validity are not recalculated at resolution unless the skill explicitly says otherwise.</t>
  </si>
  <si>
    <t>Tile-selected delayed resolution</t>
  </si>
  <si>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</si>
  <si>
    <t>Tile selection does not follow a unit that leaves the tile.</t>
  </si>
  <si>
    <t>Tag interaction by target type</t>
  </si>
  <si>
    <t>Skills/actions may carry tags that interact differently with units, tiles, terrain, objects, and ground states. A unit-valid effect applies to valid units. A tile-valid effect applies to valid tiles, terrain, objects, ground states, hazards, or environmental conditions.</t>
  </si>
  <si>
    <t>Example: Fire damage can damage a unit while also melting ice or burning terrain if the skill supports tile effects.</t>
  </si>
  <si>
    <t>State-change fallback</t>
  </si>
  <si>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</si>
  <si>
    <t>If the unit is removed from battle and no current tile exists, last-known-tile resolution must be explicitly stated by the skill.</t>
  </si>
  <si>
    <t>Tile/area delayed timing</t>
  </si>
  <si>
    <t>Tile-targeted and area-targeted delayed effects determine affected units at resolution, not commitment. Units that move out before resolution are not affected. Units that move in may be affected if valid.</t>
  </si>
  <si>
    <t>The selected tile/area remains locked.</t>
  </si>
  <si>
    <t>Unit-targeted AOE</t>
  </si>
  <si>
    <t>If a unit-targeted skill creates a pattern around the target unit, the pattern is generated from the locked unit’s current tile at resolution. If the skill creates a pattern at the original selected tile, it must explicitly say it is tile-anchored.</t>
  </si>
  <si>
    <t>Unit-targeted burst follows the unit by default.</t>
  </si>
  <si>
    <t>Caster-origin patterns</t>
  </si>
  <si>
    <t>Caster-origin patterns use the caster/source’s current tile and facing at resolution unless the skill explicitly locks origin and facing at commitment.</t>
  </si>
  <si>
    <t>Applies to self, cone, line-from-caster, aura, adjacent area, and similar caster-origin patterns.</t>
  </si>
  <si>
    <t>Direction and facing</t>
  </si>
  <si>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</si>
  <si>
    <t>Direction can be overridden by skill card.</t>
  </si>
  <si>
    <t>Chain skills</t>
  </si>
  <si>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</si>
  <si>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</si>
  <si>
    <t>Multi-tile units</t>
  </si>
  <si>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</si>
  <si>
    <t>Current rule. Giant Race Tag mechanics remain separate from multi-tile occupancy.</t>
  </si>
  <si>
    <t>Projectile LoS  |  Source: Core Game Manual v0.9::Projectile LoS</t>
  </si>
  <si>
    <t>Projectile and Line of Sight Rules</t>
  </si>
  <si>
    <t>LoS scope, unit blockers, projectile types, elevation checks, minimum range, and previews.</t>
  </si>
  <si>
    <t>LoS scope</t>
  </si>
  <si>
    <t>Line of Sight applies to direct-target ranged basic attacks and direct-target skills, including applicable Skill Cards, unless the skill explicitly says it ignores LoS.</t>
  </si>
  <si>
    <t>LoS does not automatically mean projectile behavior. Direct-target non-projectile skills can require LoS while ignoring projectile rules.</t>
  </si>
  <si>
    <t>Direct-target non-projectile skills</t>
  </si>
  <si>
    <t>Require LoS by default unless the skill explicitly ignores LoS. They use visibility blockers such as standing units, terrain, and BlocksLoS objects. They do not use projectile minimum range, projectile path, arc clearance, or guided projectile rules unless projectile-based.</t>
  </si>
  <si>
    <t>Examples: curse, mark, gaze, judgment, or similar non-projectile direct target skills.</t>
  </si>
  <si>
    <t>Unit blockers</t>
  </si>
  <si>
    <t>Standing units block LoS. This includes allies, enemies, summons, bosses, and hidden units. KO units do not block LoS. Hidden units can block LoS without being revealed by blocking alone.</t>
  </si>
  <si>
    <t>Standing blocker is ignored if attacker Effective Elevation is at least 3 higher than blocker Effective Elevation. Only attacker vs blocker is checked for this bypass.</t>
  </si>
  <si>
    <t>Terrain and object blockers</t>
  </si>
  <si>
    <t>Map objects use explicit flags. Walls, pillars, closed doors, and large solid objects block direct LoS by default using BlocksLoS. Low obstacles, hazards, traps, water, grass, spikes, and decorations do not block LoS unless tagged BlocksLoS.</t>
  </si>
  <si>
    <t>Terrain/object blocking is Tactics Ogre-inspired but explicit for CTRBLXAI implementation.</t>
  </si>
  <si>
    <t>Direct projectile LoS path</t>
  </si>
  <si>
    <t>Direct projectiles use a center-to-center LoS line from attacker tile to target tile. Crossed tiles are checked for blockers. Attacker and target tiles do not block their own check. If the line passes exactly between two tiles, both adjacent tiles are checked.</t>
  </si>
  <si>
    <t>Applies to Direct Projectile Type.</t>
  </si>
  <si>
    <t>Direct projectile elevation blocking</t>
  </si>
  <si>
    <t>Direct projectiles use a straight path from attacker to target. Intervening terrain and BlocksLoS objects may block if their blocking height intersects the direct path. Terrain uses tile elevation; objects use tile elevation plus object height if defined.</t>
  </si>
  <si>
    <t>Standing unit blockers use the separate unit blocker rule.</t>
  </si>
  <si>
    <t>Projectile Type</t>
  </si>
  <si>
    <t>Weapon and skill cards may define Projectile Type as None, Direct, Arc, or Guided.</t>
  </si>
  <si>
    <t>None means no projectile path check and no projectile minimum range.</t>
  </si>
  <si>
    <t>Direct projectile</t>
  </si>
  <si>
    <t>Uses center-to-center LoS. Default projectile minimum range = 2 unless overridden.</t>
  </si>
  <si>
    <t>Affected by direct LoS/path and direct elevation blockers.</t>
  </si>
  <si>
    <t>Arcing projectile</t>
  </si>
  <si>
    <t>Uses arc clearance instead of direct center-to-center LoS. Default Arc Height = 3. Arc Peak Elevation = Attacker Effective Elevation + Arc Height.</t>
  </si>
  <si>
    <t>Skill cards may define different Arc Height.</t>
  </si>
  <si>
    <t>Arc blocker clearance</t>
  </si>
  <si>
    <t>An arcing projectile can pass over an intervening standing unit or object only if Arc Peak Elevation &gt;= Blocker Effective Elevation + 2.</t>
  </si>
  <si>
    <t>Standing units on roughly equal elevation are usually cleared. Higher blockers may stop the arc.</t>
  </si>
  <si>
    <t>Arc target height check</t>
  </si>
  <si>
    <t>Arcing projectiles must also satisfy Arc Peak Elevation &gt;= Target Effective Elevation. If blocker clearance or target height check fails, path is invalid.</t>
  </si>
  <si>
    <t>This prevents arcs from reaching higher targets beyond their arc peak.</t>
  </si>
  <si>
    <t>Guided projectile</t>
  </si>
  <si>
    <t>Guided projectiles do not have one universal path rule. They use targeting and pathing behavior defined on their weapon or skill card. They use default projectile minimum range 2 unless overridden.</t>
  </si>
  <si>
    <t>Guided is not an automatic ignore-all category. Skill card must state what blocks, permits, redirects, or interrupts the path.</t>
  </si>
  <si>
    <t>Projectile minimum range</t>
  </si>
  <si>
    <t>All projectile attacks have default minimum range 2 unless the weapon or skill explicitly overrides it. Range-1 projectile targeting is invalid by default regardless of elevation.</t>
  </si>
  <si>
    <t>Applies to direct, arc, and guided projectiles.</t>
  </si>
  <si>
    <t>No global engagement lock</t>
  </si>
  <si>
    <t>Adjacent enemies do not globally disable projectile attacks. Projectile validity is checked against the selected target only.</t>
  </si>
  <si>
    <t>A projectile cannot target an adjacent range-1 tile by default, but the attacker may target other valid non-adjacent targets.</t>
  </si>
  <si>
    <t>No universal high-ground range bonus</t>
  </si>
  <si>
    <t>Projectiles do not gain automatic bonus range from elevation by default. High-ground range bonuses only apply if explicitly granted by weapon, skill, passive, status, map effect, or special rule.</t>
  </si>
  <si>
    <t>High ground already affects LoS, blocker bypass, arc clearance, and target elevation checks.</t>
  </si>
  <si>
    <t>Projectile preview</t>
  </si>
  <si>
    <t>Projectile attacks should preview validity before confirmation. Direct projectiles preview center-to-center LoS. Arc projectiles preview arc validity. Guided projectiles preview according to their skill-defined pathing rule.</t>
  </si>
  <si>
    <t>Invalid previews should indicate reason where practical: minimum range, maximum range, blocked LoS, arc clearance failure, target elevation failure, or skill-specific path failure.</t>
  </si>
  <si>
    <t>AOE Patterns  |  Source: Core Game Manual v0.9::AOE Patterns</t>
  </si>
  <si>
    <t>AOE and Pattern Rules</t>
  </si>
  <si>
    <t>Pattern classification, AOE resolution, elevation, friendly fire, persistence, and preview rules.</t>
  </si>
  <si>
    <t>Pattern shape vs selection basis</t>
  </si>
  <si>
    <t>Pattern Type defines shape/spread. Target Rules define what can be selected and affected. Cone, Line, Cleave, Cross, Circle, Ring, Adjacent Area, and similar shapes are AOE patterns and follow AOE rules by default.</t>
  </si>
  <si>
    <t>Adjacent Unit, Chain, and Self are unit-selection cases when only one unit is selected at commitment. A skill may select one unit but still produce an AOE, chain, burst, or secondary pattern at resolution.</t>
  </si>
  <si>
    <t>AOE Resolution Type</t>
  </si>
  <si>
    <t>AOE skills define an AOE Resolution Type: Center Spread or Selected Area.</t>
  </si>
  <si>
    <t>Skill cards may override default behavior.</t>
  </si>
  <si>
    <t>Center Spread AOE</t>
  </si>
  <si>
    <t>Originates from a selected center tile and spreads outward. Affected tiles must be inside the skill pattern, within default +/-2 elevation from center tile, and not separated from the center by BlocksAOE barriers unless overridden.</t>
  </si>
  <si>
    <t>Use for explosions, bombs, shockwaves, impact clouds, bursts, and similar effects.</t>
  </si>
  <si>
    <t>Selected Area AOE</t>
  </si>
  <si>
    <t>Affects valid tiles inside the selected area directly. It does not spread outward from a center tile. Affected tiles must be inside the pattern and within default +/-2 elevation from selected anchor tile unless overridden.</t>
  </si>
  <si>
    <t>Solid walls do not automatically block selected-area effects unless the skill says barriers, cover, ceiling, or terrain block the effect.</t>
  </si>
  <si>
    <t>Center/anchor validity</t>
  </si>
  <si>
    <t>An AOE skill must first validate the selected center or anchor tile before affected tiles are checked. It must satisfy range, target rules, LoS or projectile path unless ignored, tile validity, occupied tile rules, and projectile minimum range if projectile-based.</t>
  </si>
  <si>
    <t>If center/anchor tile is invalid, the AOE cannot be confirmed.</t>
  </si>
  <si>
    <t>Occupied center/anchor tiles</t>
  </si>
  <si>
    <t>An occupied tile may be selected as an AOE center or anchor only if the skill’s Target Rules allow occupied tiles or allow the occupant’s target type. Empty Tile rules make occupied tiles invalid.</t>
  </si>
  <si>
    <t>If targeting Ground only, the skill card must define whether occupied ground is valid.</t>
  </si>
  <si>
    <t>Default AOE elevation effectivity</t>
  </si>
  <si>
    <t>Affected tiles/units must be within +/-2 elevation levels of the center/anchor/origin tile by default unless the skill explicitly overrides it.</t>
  </si>
  <si>
    <t>Applies to AOE shapes such as cone, line, cleave, cross, circle, ring, adjacent area, Center Spread, and Selected Area.</t>
  </si>
  <si>
    <t>AOE spread blocking</t>
  </si>
  <si>
    <t>Center Spread AOE does not pass through solid BlocksAOE barriers by default. Walls, closed doors, sealed barriers, and solid map objects tagged BlocksAOE block spread.</t>
  </si>
  <si>
    <t>BlocksAOE is separate from BlocksLoS. Skills may override spread blocking.</t>
  </si>
  <si>
    <t>AOE target filtering</t>
  </si>
  <si>
    <t>After center/anchor validation, the pattern determines candidate affected tiles. Candidates are filtered by AOE Resolution Type, elevation limit, spread blocking if Center Spread, Target Rules, and skill-specific overrides.</t>
  </si>
  <si>
    <t>AOE does not automatically choose safe targets.</t>
  </si>
  <si>
    <t>Friendly fire default</t>
  </si>
  <si>
    <t>AOE effects are indiscriminate by default unless the skill explicitly restricts affected targets. Harmful AOE can affect allies. Beneficial AOE can affect enemies. Self is affected if inside the area unless excluded.</t>
  </si>
  <si>
    <t>Explicit Allies/Enemies/Self/Object/Ground restrictions make the AOE selective.</t>
  </si>
  <si>
    <t>AOE status effects</t>
  </si>
  <si>
    <t>AOE status effects are also indiscriminate by default unless the skill explicitly restricts affected targets.</t>
  </si>
  <si>
    <t>Applies to buffs, debuffs, control effects, terrain conditions, marks, cleanse, dispel, and other status-like effects.</t>
  </si>
  <si>
    <t>AOE ownership</t>
  </si>
  <si>
    <t>AOE effects keep the caster/source as effect owner unless the skill explicitly says otherwise.</t>
  </si>
  <si>
    <t>Used for scaling, duration, kill credit, threat, reactions, and ownership-sensitive effects. Friendly fire does not remove ownership.</t>
  </si>
  <si>
    <t>Persistent area effects</t>
  </si>
  <si>
    <t>Persistent area effects are lingering map effects separate from immediate AOE resolution. They keep original caster/source ownership for full duration unless the skill says they become neutral, environmental, or owned by another entity.</t>
  </si>
  <si>
    <t>Examples: poison clouds, fire fields, holy zones, traps, rune fields, terrain hazards, storms.</t>
  </si>
  <si>
    <t>Persistent area elevation on creation</t>
  </si>
  <si>
    <t>Persistent area effects use the default +/-2 elevation limit when created unless the skill description explicitly overrides it.</t>
  </si>
  <si>
    <t>After creation, persistent effects follow their own duration, trigger timing, target rules, refresh/stacking, movement/spread, and ownership rules.</t>
  </si>
  <si>
    <t>AOE preview</t>
  </si>
  <si>
    <t>AOE preview should show selected center/anchor tile, valid affected tiles, and affected units before confirmation. Center Spread and Selected Area must use visually different preview styles.</t>
  </si>
  <si>
    <t>Preview should account for range, LoS/path, Projectile Type, minimum range, AOE Resolution Type, elevation, BlocksAOE, Target Rules, friendly fire, self-affecting, and overrides.</t>
  </si>
  <si>
    <t>Affected unit preview</t>
  </si>
  <si>
    <t>AOE preview should distinguish affected allies, enemies, neutral units if applicable, caster/source, and unaffected units inside the visual pattern where practical.</t>
  </si>
  <si>
    <t>Do not require extra harmful/beneficial/mixed effect-type preview for now.</t>
  </si>
  <si>
    <t>LoS Baseline  |  Source: Core Game Manual v0.9::LoS Baseline</t>
  </si>
  <si>
    <t>Line of Sight Baseline</t>
  </si>
  <si>
    <t>High-level LoS and flight rules; detailed authorities remain on their dedicated sheets.</t>
  </si>
  <si>
    <t>LoS baseline</t>
  </si>
  <si>
    <t>Detailed targeting, LoS, projectile, and AOE rules are documented in the Targeting Rules, Projectile LoS, and AOE Patterns sheets.</t>
  </si>
  <si>
    <t>Core baseline clarified in v0.3. Weapon-specific ranged behavior remains skill/card driven.</t>
  </si>
  <si>
    <t>Units</t>
  </si>
  <si>
    <t>Units block LoS. Friendly fire is enabled.</t>
  </si>
  <si>
    <t>Formation matters.</t>
  </si>
  <si>
    <t>Flight and LoS</t>
  </si>
  <si>
    <t>Flight treats unit as Tile Elevation + 5.</t>
  </si>
  <si>
    <t>Exact LoS behavior revisited later.</t>
  </si>
  <si>
    <t>Elements  |  Source: Core Game Manual v0.9::Elements</t>
  </si>
  <si>
    <t>Elements and Damage Tags</t>
  </si>
  <si>
    <t>Element identities and their current combat interactions.</t>
  </si>
  <si>
    <t>Element / Tag</t>
  </si>
  <si>
    <t>Role</t>
  </si>
  <si>
    <t>Physical</t>
  </si>
  <si>
    <t>Damage tag</t>
  </si>
  <si>
    <t>Used for physical interactions and Frozen vulnerability.</t>
  </si>
  <si>
    <t>Fire</t>
  </si>
  <si>
    <t>Creates Burn. Halved by Wet/Frozen and removes them.</t>
  </si>
  <si>
    <t>Water</t>
  </si>
  <si>
    <t>Applies/refreshes Wet. +50% vs Frozen. Removes Burn with halved damage.</t>
  </si>
  <si>
    <t>Ice</t>
  </si>
  <si>
    <t>Can convert Wet into Frozen.</t>
  </si>
  <si>
    <t>Poison</t>
  </si>
  <si>
    <t>Theme/effect tag</t>
  </si>
  <si>
    <t>May carry Dark tag. Poison debuff does not affect Undead.</t>
  </si>
  <si>
    <t>Dark</t>
  </si>
  <si>
    <t>Element tag</t>
  </si>
  <si>
    <t>Dark-tagged damage heals Undead.</t>
  </si>
  <si>
    <t>Holy</t>
  </si>
  <si>
    <t>2x damage vs Undead. Holy healing damages Undead.</t>
  </si>
  <si>
    <t>Electric</t>
  </si>
  <si>
    <t>Future interactions not finalized.</t>
  </si>
  <si>
    <t>Statuses Damage  |  Source: Core Game Manual v0.9::Statuses Damage</t>
  </si>
  <si>
    <t>Damage and Injury Statuses</t>
  </si>
  <si>
    <t>Poison, Venom, Bleed, Raptured, Wounded, Burn, Drowning, Sinking.</t>
  </si>
  <si>
    <t>Name</t>
  </si>
  <si>
    <t>Kind</t>
  </si>
  <si>
    <t>Trigger</t>
  </si>
  <si>
    <t>Duration</t>
  </si>
  <si>
    <t>Reapplication</t>
  </si>
  <si>
    <t>Effect / Formula</t>
  </si>
  <si>
    <t>Debuff</t>
  </si>
  <si>
    <t>Start of affected unit turn</t>
  </si>
  <si>
    <t>5 turns</t>
  </si>
  <si>
    <t>Refresh duration</t>
  </si>
  <si>
    <t>Damage = round(Max HP x 0.15 x Debuff Resistance x Boss HP% Modifier). Undead immune.</t>
  </si>
  <si>
    <t>Venom</t>
  </si>
  <si>
    <t>Unlimited until cured</t>
  </si>
  <si>
    <t>Venom Strength +1 on reapplication; healing interaction below</t>
  </si>
  <si>
    <t>Damage = round(Max HP x 0.03 x Venom Strength x Debuff Resistance x Boss HP% Modifier). Undead immune.</t>
  </si>
  <si>
    <t>Bleed</t>
  </si>
  <si>
    <t>When physical damage reduces HP</t>
  </si>
  <si>
    <t>2000 CT</t>
  </si>
  <si>
    <t>Refresh Bleed and apply Raptured; healing removes family</t>
  </si>
  <si>
    <t>Bonus damage = round(Max HP x 0.05 x Debuff Resistance x Boss HP% Modifier). Barrier fully blocking damage prevents trigger. Undead immune.</t>
  </si>
  <si>
    <t>Raptured</t>
  </si>
  <si>
    <t>Each tile entered while traveling through tiles</t>
  </si>
  <si>
    <t>Refresh Raptured and apply Wounded; healing removes family</t>
  </si>
  <si>
    <t>Damage = round(Max HP x 0.02 x Debuff Resistance x Boss HP% Modifier). Applies to movement and tile-by-tile displacement, not teleport/blink/swap. Undead immune.</t>
  </si>
  <si>
    <t>Wounded</t>
  </si>
  <si>
    <t>AP-spending action except Move, Guard, Wait/Rest</t>
  </si>
  <si>
    <t>3 turns</t>
  </si>
  <si>
    <t>Refresh Wounded and apply Bleed; healing removes family</t>
  </si>
  <si>
    <t>Burn</t>
  </si>
  <si>
    <t>Adds stored Burn damage and extends duration</t>
  </si>
  <si>
    <t>On application: Added Burn = round(Fire Damage Dealt x 0.20). Tick = round(Total Stored Burn x Debuff Resistance). Water removes Burn and has damage halved.</t>
  </si>
  <si>
    <t>Drowning</t>
  </si>
  <si>
    <t>Debuff / hazard condition</t>
  </si>
  <si>
    <t>Every 500 CT</t>
  </si>
  <si>
    <t>Unlimited while valid</t>
  </si>
  <si>
    <t>Not applicable</t>
  </si>
  <si>
    <t>Jump penalty -1 every 500 CT. KO at -5 Jump penalty. Removed by reaching non-deep water tile or gaining Flight. Amphibious immune.</t>
  </si>
  <si>
    <t>Sinking</t>
  </si>
  <si>
    <t>Disables Move. Jump penalty -1 every 500 CT. KO at -5 Jump penalty. Removed by Flight or relocation out of sinking tile. Flight immune.</t>
  </si>
  <si>
    <t>Bleed-family healing rule</t>
  </si>
  <si>
    <t>Healing resolution</t>
  </si>
  <si>
    <t>After one qualifying healing resolution, remove Bleed, Raptured, and Wounded together regardless of stage, duration, or originally applied family member. Shields do not count. Healing converted into damage or prevented/nullified by anti-healing does not count. Resolve healing, apply amount normally, remove the family, then resolve remaining source consequences. Cleanse may still remove them normally.</t>
  </si>
  <si>
    <t>Qualifying healing</t>
  </si>
  <si>
    <t>Healing Skill Cards; healing items; Regeneration ticks; Lifesteal healing; healing terrain/map-object effects; other effects that validly resolve as healing. Effective restored HP may be zero due to overhealing.</t>
  </si>
  <si>
    <t>Venom healing rule</t>
  </si>
  <si>
    <t>Each qualifying healing resolution reduces Venom Strength by 1. If Venom Strength falls below 1, remove Venom. Amount healed does not change the reduction. Cleanse removes Venom completely regardless of strength.</t>
  </si>
  <si>
    <t>Statuses Control  |  Source: Core Game Manual v0.9::Statuses Control</t>
  </si>
  <si>
    <t>Control, Suppression, and Mobility Statuses</t>
  </si>
  <si>
    <t>Silence, Mute, Break, Disarmed, Pinned, Crippled, Blind, Confuse, Mana Burn, Petrify, Haste, Slow, Frenzy.</t>
  </si>
  <si>
    <t>Blind</t>
  </si>
  <si>
    <t>Final Precision = Precision x 0.50. No miss chance.</t>
  </si>
  <si>
    <t>Confuse</t>
  </si>
  <si>
    <t>When unit directly damages an enemy with own active action, backlash = round(Final Enemy HP Damage x 0.30 x Debuff Resistance). No status ownership tracking.</t>
  </si>
  <si>
    <t>Silence</t>
  </si>
  <si>
    <t>Prevents active skills. Does not prevent Move, Basic Attack, Guard, Item, Interact, Wait/Rest. Interrupts channeling.</t>
  </si>
  <si>
    <t>Mute</t>
  </si>
  <si>
    <t>3000 CT</t>
  </si>
  <si>
    <t>Disables skill augments only. Base skill remains usable.</t>
  </si>
  <si>
    <t>Break</t>
  </si>
  <si>
    <t>Break affects only Doctrine Passive, Race Passive, Inherent Unit Perk, and Inherent Unit Drawback. Race-authored benefits and drawbacks are contained inside one authored Race Passive. Break does not affect weapon/armor/shield/off-hand/accessory passives, equipment affixes/statistics, structural equipment properties, Basic Attack, Skill Cards, Augments, Race Tags, existing buffs/debuffs, existing persistent effects, or summons. Race Tags remain active during Break. Equipment passives remain active under the current framework. Permanent effects granted by a Breakable passive become normal dispellable effects using normal duration while Break is active; if removed/expired during Break, they do not return until Break ends and the passive becomes active again.</t>
  </si>
  <si>
    <t>Disarmed</t>
  </si>
  <si>
    <t>Prevents Basic Attack only. Skill Cards remain usable.</t>
  </si>
  <si>
    <t>Pinned</t>
  </si>
  <si>
    <t>1000 CT</t>
  </si>
  <si>
    <t>Disables Move action. Does not prevent forced displacement, teleport, basic attack, skills, guard, item, interact, wait/rest.</t>
  </si>
  <si>
    <t>Crippled</t>
  </si>
  <si>
    <t>Movement Range reduced by max(2, 50% current Movement Range), min final 1. Jump reduced by max(1, 50% current Jump), min final 0.</t>
  </si>
  <si>
    <t>Mana Burn</t>
  </si>
  <si>
    <t>Extra MP Cost = round(Max MP x 0.20). Total MP Spent = Skill MP Cost + Extra. Damage = round(Total MP Spent x 0.50 x Debuff Resistance). Active skills only.</t>
  </si>
  <si>
    <t>Petrify</t>
  </si>
  <si>
    <t>Debuff / hard control</t>
  </si>
  <si>
    <t>1500 CT</t>
  </si>
  <si>
    <t>RT does not decrease. Removes other temporary buffs/debuffs on application. Immune to new debuffs. Can be displaced. Normal damage x0.70. HP%-based damage x0.25.</t>
  </si>
  <si>
    <t>Haste</t>
  </si>
  <si>
    <t>Buff</t>
  </si>
  <si>
    <t>Modified Base RT = Base RT x 0.90. Affects Base RT-derived costs. Does not affect skill card RT, channel time, activation time, MP, or WT.</t>
  </si>
  <si>
    <t>Slow</t>
  </si>
  <si>
    <t>Modified Base RT = Base RT x 1.10. Same scope as Haste.</t>
  </si>
  <si>
    <t>Frenzy</t>
  </si>
  <si>
    <t>Affects Basic Attack tempo only. It does not modify Skill Card RT Cost, MP Cost, Channel Time, or Activation Time unless an explicit Skill or effect says otherwise.</t>
  </si>
  <si>
    <t>Statuses Buffs States  |  Source: Core Game Manual v0.9::Statuses Buffs States</t>
  </si>
  <si>
    <t>Buffs, States, Transformations, and Special Conditions</t>
  </si>
  <si>
    <t>Wet, Frozen, Undead, Overflow, Regeneration, Recharge, Hide, Blessed, Cursed, Enlightened, Flight, Giant Transformation, Knock-out, Rush, Weakened.</t>
  </si>
  <si>
    <t>Wet</t>
  </si>
  <si>
    <t>Movement RT x1.25. Fire damage halved and removes Wet. Ice-tagged effects may convert Wet to Frozen. Water applies/refreshes Wet.</t>
  </si>
  <si>
    <t>Frozen</t>
  </si>
  <si>
    <t>Does not prevent movement/actions. All RT costs including Movement RT x2. Incoming Physical and Water damage x1.50. Fire damage x0.50 then removes Frozen.</t>
  </si>
  <si>
    <t>Undead</t>
  </si>
  <si>
    <t>Special condition</t>
  </si>
  <si>
    <t>Permanent or temporary</t>
  </si>
  <si>
    <t>None</t>
  </si>
  <si>
    <t>Race Tag: Dark-tagged damage heals instead of damages. Immune to Poison, Venom, Bleed, Raptured, and Wounded. Holy damage x2. Healing from any non-Dark source is converted into damage instead of healing.</t>
  </si>
  <si>
    <t>Overflow</t>
  </si>
  <si>
    <t>Extend duration</t>
  </si>
  <si>
    <t>Unified Skill Card eligibility pending clarification. Previous Skill Card-specific behavior is superseded and must not be used as a current rule until Overflow’s compatible Skill Tags, Target Rules, MP Cost interaction, and damage interaction are explicitly approved.</t>
  </si>
  <si>
    <t>Pending Clarification</t>
  </si>
  <si>
    <t>Regeneration</t>
  </si>
  <si>
    <t>Every 300 CT: Final Heal = round(round(Max HP x 0.05) x (1 + VIT / 300)).</t>
  </si>
  <si>
    <t>1200 CT</t>
  </si>
  <si>
    <t>Refresh duration; reapplication does not repeat immediate restoration</t>
  </si>
  <si>
    <t>On application: restore round(Max MP × 0.10), minimum 1 MP. At 300, 600, 900, and 1200 CT after application: restore round(Max MP × 0.05), minimum 1 MP per event. Current MP cannot exceed Max MP. Recharge is explicit MP recovery, not natural regeneration. INT affects Recharge only through Max MP unless another explicit rule applies.</t>
  </si>
  <si>
    <t>Hide</t>
  </si>
  <si>
    <t>Untargetable by direct enemy targeting. Movement does not break Hide. Can be hit by AOE/ground effects. Revealed by attack/skill/offensive action/AOE/reveal/enemy adjacent. Next direct damaging attack: Final Hit Quality +0.50.</t>
  </si>
  <si>
    <t>Blessed</t>
  </si>
  <si>
    <t>4 turns</t>
  </si>
  <si>
    <t>Final Hit Quality +0.25.</t>
  </si>
  <si>
    <t>Cursed</t>
  </si>
  <si>
    <t>Final Hit Quality -0.25.</t>
  </si>
  <si>
    <t>Enlightened</t>
  </si>
  <si>
    <t>Adds stack and refreshes duration</t>
  </si>
  <si>
    <t>All main stats +10% per stack. Additive stacking.</t>
  </si>
  <si>
    <t>Flight</t>
  </si>
  <si>
    <t>Buff / state</t>
  </si>
  <si>
    <t>Flying Race Tag grants permanent Flight when used as a Race Tag. Existing Flight effects: 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t>
  </si>
  <si>
    <t>Giant Transformation</t>
  </si>
  <si>
    <t>Buff / Transformation</t>
  </si>
  <si>
    <t>STR +20%; VIT +20%; INT -20%; DEX -20%; AGI -20%; LUK unaffected. Does not stack with itself. Giant Transformation does not grant the Giant Race Tag unless a future explicit rule says so.</t>
  </si>
  <si>
    <t>Knock-out</t>
  </si>
  <si>
    <t>Combat state</t>
  </si>
  <si>
    <t>3000 CT deadline</t>
  </si>
  <si>
    <t>Applied at 0 HP. Cannot act/spend AP. Temporary buffs/debuffs removed. RT continues; ready turn is skipped and Rest-style RT assigned. Remains on tile and does not block movement or tile entry. Any standing unit, ally or enemy, may occupy the KO tile. While occupied by a standing unit, the KO’d unit cannot be revived or targeted by normal revive effects unless the revive effect explicitly ignores tile occupation. Removed from battle after 3000 CT if not revived.</t>
  </si>
  <si>
    <t>Rush</t>
  </si>
  <si>
    <t>Movement Range +3. DEX -20%. Does not stack with itself.</t>
  </si>
  <si>
    <t>Weakened</t>
  </si>
  <si>
    <t>All main stats -10%. Does not stack with itself.</t>
  </si>
  <si>
    <t>Weapon BP Rules  |  Source: Core Game Manual v0.9::Weapon BP Rules</t>
  </si>
  <si>
    <t>Weapon BP Pricing Rules</t>
  </si>
  <si>
    <t>Complete-cycle base-weapon valuation.</t>
  </si>
  <si>
    <t>Control / Formula</t>
  </si>
  <si>
    <t>Definition</t>
  </si>
  <si>
    <t>Base target</t>
  </si>
  <si>
    <t>Approximately 1,000 BP per base archetype endpoint.</t>
  </si>
  <si>
    <t>Locked working target</t>
  </si>
  <si>
    <t>Expected attacks</t>
  </si>
  <si>
    <t>2 attacks per turn for standard Basic Attack tempo pricing.</t>
  </si>
  <si>
    <t>1H flexibility</t>
  </si>
  <si>
    <t>350 BP.</t>
  </si>
  <si>
    <t>Attack BP</t>
  </si>
  <si>
    <t>round(350 x (Attack Rating/100)^1.4) plus high-Attack premium above 125; premium cap 400, decay 14.</t>
  </si>
  <si>
    <t>Locked working table</t>
  </si>
  <si>
    <t>Modified Base RT</t>
  </si>
  <si>
    <t>Base RT + Effective Armor WT.</t>
  </si>
  <si>
    <t>Basic Attack RT</t>
  </si>
  <si>
    <t>round(Modified Base RT x 0.10) + Effective Weapon WT.</t>
  </si>
  <si>
    <t>Two-Attack Cycle RT</t>
  </si>
  <si>
    <t>Modified Base RT + 2 x Basic Attack RT.</t>
  </si>
  <si>
    <t>Attacks per 1000 CT</t>
  </si>
  <si>
    <t>2000 / Two-Attack Cycle RT.</t>
  </si>
  <si>
    <t>WT BP</t>
  </si>
  <si>
    <t>round(350 x ((Weapon attacks/1000)/(Sword attacks/1000))^1.5 - 350).</t>
  </si>
  <si>
    <t>Defense BP</t>
  </si>
  <si>
    <t>Realized incoming-damage durability versus Sword reference; coefficient 300, exponent 1.25, adjusted by range realization.</t>
  </si>
  <si>
    <t>RT Delay BP</t>
  </si>
  <si>
    <t>Final raw RT Delay throughput per 1000 CT relative to Sword; coefficient 200, exponent 1.4.</t>
  </si>
  <si>
    <t>Maximum Range BP</t>
  </si>
  <si>
    <t>round(100 + 80 x (Maximum Range - 1)^1.4).</t>
  </si>
  <si>
    <t>Projectile Minimum Range refund</t>
  </si>
  <si>
    <t>-min(50% of Maximum Range BP, round(60 x (Minimum Range - 1)^1.4)).</t>
  </si>
  <si>
    <t>Pattern BP</t>
  </si>
  <si>
    <t>round(400 x Secondary Target Equivalents^1.25 x Pattern Reliability). References: Line 2 = 400; Cleave = 598; approved impact splash = 400.</t>
  </si>
  <si>
    <t>Tempo synergy</t>
  </si>
  <si>
    <t>min(150, round(0.35 x sqrt(Positive WT BP x max(0, RT Delay BP - 200)))).</t>
  </si>
  <si>
    <t>Final validation</t>
  </si>
  <si>
    <t>Recalculate complete final profile and synergies. Components cannot be priced independently when combinations change final value.</t>
  </si>
  <si>
    <t>Weapon Archetypes  |  Source: Core Game Manual v0.9::Weapon Archetypes</t>
  </si>
  <si>
    <t>Current Base Weapon Archetypes</t>
  </si>
  <si>
    <t>Provisional and incomplete set; more archetypes and fine-tuning remain required.</t>
  </si>
  <si>
    <t>Weapon</t>
  </si>
  <si>
    <t>Family</t>
  </si>
  <si>
    <t>Projectile</t>
  </si>
  <si>
    <t>Hands</t>
  </si>
  <si>
    <t>Min</t>
  </si>
  <si>
    <t>Max</t>
  </si>
  <si>
    <t>Pattern</t>
  </si>
  <si>
    <t>Passive</t>
  </si>
  <si>
    <t>L1 Dmg</t>
  </si>
  <si>
    <t>L1 WT</t>
  </si>
  <si>
    <t>L1 Delay</t>
  </si>
  <si>
    <t>L1 Def</t>
  </si>
  <si>
    <t>L99 Dmg</t>
  </si>
  <si>
    <t>L99 WT</t>
  </si>
  <si>
    <t>L99 Delay</t>
  </si>
  <si>
    <t>L99 Def</t>
  </si>
  <si>
    <t>L1 BP</t>
  </si>
  <si>
    <t>L99 BP</t>
  </si>
  <si>
    <t>Sword</t>
  </si>
  <si>
    <t>Melee</t>
  </si>
  <si>
    <t>1H</t>
  </si>
  <si>
    <t>Single</t>
  </si>
  <si>
    <t>Balanced 1H reference</t>
  </si>
  <si>
    <t>Dagger</t>
  </si>
  <si>
    <t>Piercing Edge / Brutal (Pending base-passive definition)</t>
  </si>
  <si>
    <t>Piercing Edge / Brutal effect and base-passive BP allocation pending. Dagger endpoint remains provisional and must not be used as a final passive-balanced simulation reference until the base passive is approved.</t>
  </si>
  <si>
    <t>Claws</t>
  </si>
  <si>
    <t>2H</t>
  </si>
  <si>
    <t>Sustained RT control</t>
  </si>
  <si>
    <t>Hammer</t>
  </si>
  <si>
    <t>Heavy impact and delay</t>
  </si>
  <si>
    <t>Greatsword</t>
  </si>
  <si>
    <t>Cleave</t>
  </si>
  <si>
    <t>Melee Cleave</t>
  </si>
  <si>
    <t>Spear</t>
  </si>
  <si>
    <t>Line 2</t>
  </si>
  <si>
    <t>Range-2 line</t>
  </si>
  <si>
    <t>Whip</t>
  </si>
  <si>
    <t>Safe melee reach</t>
  </si>
  <si>
    <t>Club</t>
  </si>
  <si>
    <t>Push / Knockback 1</t>
  </si>
  <si>
    <t>Durable displacement</t>
  </si>
  <si>
    <t>War Axe</t>
  </si>
  <si>
    <t>Extreme burst</t>
  </si>
  <si>
    <t>Longbow</t>
  </si>
  <si>
    <t>Ranged</t>
  </si>
  <si>
    <t>Arc</t>
  </si>
  <si>
    <t>Long-range damage</t>
  </si>
  <si>
    <t>Hand Crossbow</t>
  </si>
  <si>
    <t>Direct</t>
  </si>
  <si>
    <t>Flexible 1H ranged</t>
  </si>
  <si>
    <t>Sling</t>
  </si>
  <si>
    <t>Fast arcing harassment</t>
  </si>
  <si>
    <t>Blowgun</t>
  </si>
  <si>
    <t>Venomous</t>
  </si>
  <si>
    <t>Venom delivery</t>
  </si>
  <si>
    <t>Bombard</t>
  </si>
  <si>
    <t>Impact + four 50% splash tiles</t>
  </si>
  <si>
    <t>Splash artillery</t>
  </si>
  <si>
    <t>Repeating Crossbow</t>
  </si>
  <si>
    <t>Ranged RT control</t>
  </si>
  <si>
    <t>Focus Weapon Family</t>
  </si>
  <si>
    <t>Approved normal weapon family; final Focus archetype endpoints pending.</t>
  </si>
  <si>
    <t>A Focus is a normal weapon whose built-in passive is designed to improve eligible Skill Cards. Focus remains usable for Basic Attacks, Skill Cards, ordinary weapon-stat inheritance, and compatible weapon-passive delivery. Conventional weapons may also provide weapon properties inherited by Skill Cards when the Skill explicitly declares that inheritance.</t>
  </si>
  <si>
    <t>Mechanical rules</t>
  </si>
  <si>
    <t>Focus uses the same approximately 1,000 BP target, ordinary weapon BP curves, handedness pricing, Range pricing, Pattern pricing, Damage/WT/RT Delay/Defense pricing, normal passive pricing, and applicable synergy pricing. Focus has no mandatory passive reserve; Focus passives receive normal passive pricing. Total Focus BP = Handedness BP + Attack BP + WT BP + Defense BP + RT Delay BP + Range BP + Pattern BP + Built-in Passive BP + Applicable Synergy BP. Built-in Bonus Skill Range remains mainly a 2H Focus identity. Eligible 1H Focus may roll Bonus Skill Range through procedural rarity if BP budget, line count, family eligibility, and validation permit it. Off-hand Focus BP remains parked.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</si>
  <si>
    <t>Skill Card note</t>
  </si>
  <si>
    <t>Focus may be used as an equipped weapon by Skill Cards when the Focus satisfies the Skill’s declared compatibility requirements. Focus is not the only weapon family whose properties may be inherited by Skill Cards.</t>
  </si>
  <si>
    <t>Item Rarity Generation  |  Source: Core Game Manual v0.9::Item Rarity Generation</t>
  </si>
  <si>
    <t>Rarity and Procedural Item Generation</t>
  </si>
  <si>
    <t>Positive-only rarity bonus BP; content-specific rarity meaning.</t>
  </si>
  <si>
    <t>Broken, Common, Uncommon, Rare, Epic, Legendary, Mythic, Transcendent, Unique.</t>
  </si>
  <si>
    <t>Item Level</t>
  </si>
  <si>
    <t>Fixed base archetype progression and affix-tier access.</t>
  </si>
  <si>
    <t>Equipment rarity</t>
  </si>
  <si>
    <t>Positive BP allowance for bonus attributes only; disregard base weapon stats and base weapon BP.</t>
  </si>
  <si>
    <t>No negative rarity BP</t>
  </si>
  <si>
    <t>Negative bonus-attribute BP is not allowed and cannot finance positive bonuses.</t>
  </si>
  <si>
    <t>Exact allowance values</t>
  </si>
  <si>
    <t>Normal procedural equipment bonus BP budgets are locked below. Tolerance = min(5% of Target Bonus BP, 50 BP); valid band uses ceiling(Target - Tolerance) and floor(Target + Tolerance).</t>
  </si>
  <si>
    <t>Eligibility</t>
  </si>
  <si>
    <t>Eligibility is based on base equipment family and normal behavior. Each bonus must be independently useful; reject useless, duplicate, mutually exclusive, hard-limit-breaking, source-dependent, or undefined combinations.</t>
  </si>
  <si>
    <t>Identity transformation</t>
  </si>
  <si>
    <t>Normal procedural generation allows at most one elemental assignment on non-elemental weapons and at most one pattern conversion on Single-pattern weapons. Unique items may be authored exceptions.</t>
  </si>
  <si>
    <t>Authored/curated; may have bonus attributes and exclusive mechanics; may ignore ordinary Weapon Builder BP constraints; not automatically superior to Transcendent.</t>
  </si>
  <si>
    <t>Furniture</t>
  </si>
  <si>
    <t>Uses the positive-only rarity-BP idea with furniture-specific property costs.</t>
  </si>
  <si>
    <t>Locked direction</t>
  </si>
  <si>
    <t>Skill/Augment rarity</t>
  </si>
  <si>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</si>
  <si>
    <t>Doctrine rarity</t>
  </si>
  <si>
    <t>Doctrines use one scarcity band comparable to Epic-to-Legendary equipment acquisition frequency. Scarcity does not alter the fixed three Skill choices, stat package, passive, Skill formulas, power, costs, timing, Augment Slots, or mechanics.</t>
  </si>
  <si>
    <t>Rarity Budgets  |  Source: Core Game Manual v0.9::Rarity Budgets</t>
  </si>
  <si>
    <t>Equipment Rarity BP Budgets</t>
  </si>
  <si>
    <t>Target bonus BP, line limits, tolerance, and valid BP bands by rarity.</t>
  </si>
  <si>
    <t>Rarity</t>
  </si>
  <si>
    <t>Target Bonus BP</t>
  </si>
  <si>
    <t>Max Lines</t>
  </si>
  <si>
    <t>Tolerance</t>
  </si>
  <si>
    <t>Minimum Valid BP</t>
  </si>
  <si>
    <t>Maximum Valid BP</t>
  </si>
  <si>
    <t>Broken</t>
  </si>
  <si>
    <t>Approximately 5% penalty to one authored identifying numerical stat; no positive procedural bonuses.</t>
  </si>
  <si>
    <t>Common</t>
  </si>
  <si>
    <t>No positive bonus BP.</t>
  </si>
  <si>
    <t>Uncommon</t>
  </si>
  <si>
    <t>Rare</t>
  </si>
  <si>
    <t>Passive bonuses minimum normal rarity begins here unless specified.</t>
  </si>
  <si>
    <t>Epic</t>
  </si>
  <si>
    <t>Legendary</t>
  </si>
  <si>
    <t>Mythic</t>
  </si>
  <si>
    <t>Transcendent</t>
  </si>
  <si>
    <t>Special-event tier unless explicit source says otherwise.</t>
  </si>
  <si>
    <t>Authored</t>
  </si>
  <si>
    <t>May ignore normal BP, line, eligibility, and combination restrictions.</t>
  </si>
  <si>
    <t>Item Generation Rules  |  Source: Core Game Manual v0.9::Item Generation Rules</t>
  </si>
  <si>
    <t>Procedural Item Generation Rules</t>
  </si>
  <si>
    <t>Validation, penalties, attribute tiers, and eligible bonus-property rules.</t>
  </si>
  <si>
    <t>Approved text</t>
  </si>
  <si>
    <t>Budget meaning</t>
  </si>
  <si>
    <t>Target bonus BP is intended average total bonus BP, not merely a maximum. Base equipment BP is excluded. Negative bonus BP cannot finance positive bonuses.</t>
  </si>
  <si>
    <t>Validation</t>
  </si>
  <si>
    <t>Every generated result must fall within valid BP band. If BP band, line count, eligibility, duplicate, or conflict validation fails, discard and reroll the entire bonus set. Do not repair failed sets by changing authored values, adding hidden adjustments, changing rarity, or widening the band.</t>
  </si>
  <si>
    <t>Broken penalty</t>
  </si>
  <si>
    <t>Broken uses normal level-scaled Common value as basis. Positive identity stat: Broken Value = round(Common Base Value x 0.95). WT where higher is worse: Broken WT = round(Common Base WT x 1.05). No separate Broken endpoint tables.</t>
  </si>
  <si>
    <t>Broken restrictions</t>
  </si>
  <si>
    <t>Broken cannot reduce Range, remove/weaken passives, change pattern, element, projectile type, hands, or compatibility, generate negative BP, or receive positive procedural bonuses.</t>
  </si>
  <si>
    <t>Primary stat tiers</t>
  </si>
  <si>
    <t>All six primary stats use equal BP prices. I: 50 BP = +2 + 3%; II: 75 BP = +3 + 4.5%; III: 100 BP = +4 + 6%. Final Stat Bonus = round(Fixed Bonus + Base Primary Stat x Percentage).</t>
  </si>
  <si>
    <t>Weapon Damage tiers</t>
  </si>
  <si>
    <t>I: 50 BP = +1 + 3%; II: 75 BP = +1.5 + 4.5%; III: 100 BP = +2 + 6% of Common Base Weapon Damage. Only one tier may roll.</t>
  </si>
  <si>
    <t>Reduced WT tiers</t>
  </si>
  <si>
    <t>I: 50 BP = 5 + 10%; II: 75 BP = 7.5 + 15%; III: 100 BP = 10 + 20% of Common Base Weapon WT. Raw WT may reach zero or become negative; STR reduces WT only while Raw WT is positive.</t>
  </si>
  <si>
    <t>RT Delay tiers</t>
  </si>
  <si>
    <t>I: 50 BP = 5 + 10%; II: 75 BP = 7.5 + 15%; III: 100 BP = 10 + 20% of positive Common Base RT Delay. Zero or negative RT Delay weapons are ineligible.</t>
  </si>
  <si>
    <t>Negative-property basis</t>
  </si>
  <si>
    <t>For positive bonuses to properties that may be negative: Percentage Basis = max(0, Common Base Property).</t>
  </si>
  <si>
    <t>Weapon Defense pool</t>
  </si>
  <si>
    <t>Weapon Defense is removed from the normal procedural weapon bonus pool.</t>
  </si>
  <si>
    <t>Titan Arsenal  |  Source: Core Game Manual v0.9::Titan Arsenal</t>
  </si>
  <si>
    <t>Titan and Colossal Arsenal Rules</t>
  </si>
  <si>
    <t>Titan equipment legality, Break interaction, dual wield, and Skill inheritance.</t>
  </si>
  <si>
    <t>Titan / Colossal Arsenal</t>
  </si>
  <si>
    <t>Colossal Arsenal</t>
  </si>
  <si>
    <t>Titan may equip a normally 2H melee weapon as a 1H main-hand weapon while retaining off-hand access. That converted main-hand weapon provides 75% of Weapon Damage, Weapon WT, Weapon RT Delay, Weapon Defense, and numerical bonus attributes. Reduced Weapon WT is rounded down before STR reduction. Pattern, Projectile Type, element, binary passives, hand classification, compatibility properties, and other structural properties remain intact. Titan’s existing Evasiveness -15% drawback remains active according to the existing Colossal Arsenal rule unless Break disables the Race Passive.</t>
  </si>
  <si>
    <t>Break interaction</t>
  </si>
  <si>
    <t>If off-hand legality depends on Colossal Arsenal, Break disables the off-hand and treats it as unequipped while the item remains assigned. The normally 2H main-hand weapon returns to normal 2H use at 100%; the unit does not become unarmed. Evasiveness -15% is disabled while Broken. Naturally legal 1H setups remain legal.</t>
  </si>
  <si>
    <t>Dual-Wield Doctrine</t>
  </si>
  <si>
    <t>If a compatible Doctrine permits dual wield, Titan may equip normally 2H melee weapons in both hands. Each weapon provides 65% of Weapon Damage, Weapon WT, Weapon RT Delay, Weapon Defense, and numerical bonus attributes. Reduced Weapon WT is rounded down before STR reduction. This 65% treatment replaces ordinary dual wield’s 75% treatment for this configuration; no additional ordinary dual-wield reduction applies. Pattern, Projectile Type, element, binary passives, hand classification, compatibility properties, and other structural properties remain intact.</t>
  </si>
  <si>
    <t>Dual-Wield Basic Attack</t>
  </si>
  <si>
    <t>Dual-Wield Basic Attack costs 1 AP and resolves as one action containing two sequential weapon attacks, main hand then off hand. Each resolves damage and Defense independently and delivers its own compatible on-hit effects. If the first attack defeats the selected target, the second does not strike that defeated target unless an explicit redirection rule permits it.
Modified Main-Hand Raw WT = Main-Hand Raw Weapon WT after applicable Race and authored raw-WT modifiers
Modified Off-Hand Raw WT = Off-Hand Raw Weapon WT after applicable Race and authored raw-WT modifiers
Reduced Main-Hand Raw WT = floor(Modified Main-Hand Raw WT × applicable weapon-use multiplier)
Reduced Off-Hand Raw WT = floor(Modified Off-Hand Raw WT × applicable weapon-use multiplier)
Effective Reduced Main-Hand WT = Reduced Main-Hand Raw WT × (1 - STR / (200 + STR))
Effective Reduced Off-Hand WT = Reduced Off-Hand Raw WT × (1 - STR / (200 + STR))
Dual-Wield Basic Attack RT = round(Modified Base RT × 0.10) + Effective Reduced Main-Hand WT + Effective Reduced Off-Hand WT
Apply the Manual’s final rounding rule to the completed RT output. Ordinary dual wield uses 75% per naturally 1H weapon; Titan dual wield uses 65% per normally 2H melee weapon. Mechanical Raw Weapon WT +15% applies before these percentages. One shared base-RT component is paid; both reduced Effective Weapon WT values are added.</t>
  </si>
  <si>
    <t>Dual-Wield Knockback</t>
  </si>
  <si>
    <t>Add main-hand and off-hand Knockback contributions. Only successful valid hits contribute. Final Knockback Distance = floor(Combined Knockback × 0.75). Resolve final displacement after both attack damage calculations and applicable on-hit effects. An invalid attack contributes no Knockback. A defeated target cannot be displaced unless another rule explicitly permits it.</t>
  </si>
  <si>
    <t>Titan Skill Card inheritance</t>
  </si>
  <si>
    <t>Skill Cards use unreduced main-hand base properties when explicitly inherited. Colossal Arsenal and Dual-Wield reductions do not reduce inherited main-hand properties. Off-hand properties, passives, bonus attributes, compatibility, attacks, and Knockback do not automatically contribute. A Skill is one authored Skill resolution and does not automatically become a dual-wield attack.</t>
  </si>
  <si>
    <t>Ordinary dual wield requires two naturally legal 1H weapons. Each weapon provides 75% of Weapon Damage, Weapon WT, Weapon RT Delay, Weapon Defense, and numerical bonus attributes. Reduced Weapon WT is rounded down before STR reduction. Pattern, Projectile Type, element, binary passives, hand classification, compatibility properties, and other structural properties remain intact. The Dual-Wield Basic Attack costs 1 AP and resolves as one action containing two sequential weapon attacks: main hand first, then off hand. Each resolves damage and Defense independently and delivers its own compatible on-hit effects. If the first attack defeats the selected target, the second does not strike that defeated target unless explicit redirection permits it. Skill Cards use unreduced main-hand base properties when explicitly inherited; off-hand properties, passives, bonus attributes, attacks, compatibility, and Knockback do not automatically contribute. A Skill remains one authored Skill resolution and does not automatically become a dual-wield attack.</t>
  </si>
  <si>
    <t>Affix Seed Library  |  Source: Core Game Manual v0.9::Affix Seed Library</t>
  </si>
  <si>
    <t>Affix Seed Library</t>
  </si>
  <si>
    <t>Approved seed families; exact effects and positive BP prices remain balancing work.</t>
  </si>
  <si>
    <t>Affix</t>
  </si>
  <si>
    <t>Current Direction</t>
  </si>
  <si>
    <t>Tier 1</t>
  </si>
  <si>
    <t>Tier 2</t>
  </si>
  <si>
    <t>Tier 3</t>
  </si>
  <si>
    <t>Tier 4</t>
  </si>
  <si>
    <t>Tier 5</t>
  </si>
  <si>
    <t>Category</t>
  </si>
  <si>
    <t>Approved equal primary-stat tiers: I 50 BP = +2 + 3% Base Primary Stat; II 75 BP = +3 + 4.5%; III 100 BP = +4 + 6%. Final bonus = round(Fixed + Base Primary Stat x Percentage). Only one tier of the same primary stat may roll.</t>
  </si>
  <si>
    <t>Primary Attributes</t>
  </si>
  <si>
    <t>See 05 EQUIPMENT ITEMS!D111 — canonical text; not duplicated here.</t>
  </si>
  <si>
    <t>Skill Potency</t>
  </si>
  <si>
    <t>Seed approved; exact effect, tier, and positive BP pricing remain future balancing work.</t>
  </si>
  <si>
    <t>Derived / Numerical</t>
  </si>
  <si>
    <t>MP Recovery</t>
  </si>
  <si>
    <t>Movement Efficiency</t>
  </si>
  <si>
    <t>Interaction Efficiency</t>
  </si>
  <si>
    <t>Map-object Interaction Efficiency is not universal. Object must explicitly opt in and declare affected property. Object-by-object classification remains pending.</t>
  </si>
  <si>
    <t>Weapon Damage</t>
  </si>
  <si>
    <t>Approved tiers: I 50 BP = +1 + 3%; II 75 BP = +1.5 + 4.5%; III 100 BP = +2 + 6% of Common Base Weapon Damage. Only one tier may roll.</t>
  </si>
  <si>
    <t>Weapon Defense</t>
  </si>
  <si>
    <t>Removed from normal procedural weapon bonus pool. May be authored outside the normal procedural weapon pool if explicitly approved.</t>
  </si>
  <si>
    <t>Reduced Weapon WT</t>
  </si>
  <si>
    <t>Approved tiers: I 50 BP = 5 + 10%; II 75 BP = 7.5 + 15%; III 100 BP = 10 + 20% of Common Base Weapon WT. Raw WT may reach zero or negative; STR reduces WT only while Raw WT is positive.</t>
  </si>
  <si>
    <t>Increased Weapon WT</t>
  </si>
  <si>
    <t>RT Delay</t>
  </si>
  <si>
    <t>Approved tiers: I 50 BP = 5 + 10%; II 75 BP = 7.5 + 15%; III 100 BP = 10 + 20% of positive Common Base RT Delay. Zero/negative RT Delay weapons ineligible.</t>
  </si>
  <si>
    <t>Precision</t>
  </si>
  <si>
    <t>Evasiveness</t>
  </si>
  <si>
    <t>Max HP</t>
  </si>
  <si>
    <t>Max MP</t>
  </si>
  <si>
    <t>Force</t>
  </si>
  <si>
    <t>Stability</t>
  </si>
  <si>
    <t>Debuff Resistance</t>
  </si>
  <si>
    <t>RT Delay Resistance</t>
  </si>
  <si>
    <t>Healing Efficiency</t>
  </si>
  <si>
    <t>Backstab</t>
  </si>
  <si>
    <t>Parked: complete effect, compatibility metadata, and/or price not approved. Do not infer behavior from seed name.</t>
  </si>
  <si>
    <t>Conditional Damage</t>
  </si>
  <si>
    <t>Executioner</t>
  </si>
  <si>
    <t>First Strike</t>
  </si>
  <si>
    <t>Last Stand</t>
  </si>
  <si>
    <t>Opportunist</t>
  </si>
  <si>
    <t>Siege</t>
  </si>
  <si>
    <t>Relentless</t>
  </si>
  <si>
    <t>Brutal</t>
  </si>
  <si>
    <t>Heavy</t>
  </si>
  <si>
    <t>Ambush</t>
  </si>
  <si>
    <t>Bleeding Edge</t>
  </si>
  <si>
    <t>200 BP. Compatible Skill Tags: Direct Damage. Compatible Target Rules: Enemy Unit. Effect: Apply Bleed. Delivery: per successful hit. Bleed/Raptured/Wounded may advance by no more than one stage per successful hit; evolution-created status cannot recursively advance during same hit.</t>
  </si>
  <si>
    <t>Status / On-Hit</t>
  </si>
  <si>
    <t>Toxic Blade</t>
  </si>
  <si>
    <t>150 BP. Compatible Skill Tags: Direct Damage. Compatible Target Rules: Enemy Unit. Effect: Apply Poison. Delivery: per successful hit.</t>
  </si>
  <si>
    <t>200 BP. Compatible Skill Tags: Direct Damage. Compatible Target Rules: Enemy Unit. Effect: add 1 Venom Strength. Delivery: per successful hit. Timing: after that hit’s damage calculation.</t>
  </si>
  <si>
    <t>Burning</t>
  </si>
  <si>
    <t>200 BP. Compatible Skill Tags: Direct Damage, Physical. Compatible Target Rules: Enemy Unit. Effect: remove Physical and add Fire. Burn generated from actual Fire damage dealt. Element conversion applies to the Skill action; Burn resolves from each qualifying damaging hit.</t>
  </si>
  <si>
    <t>Freezing</t>
  </si>
  <si>
    <t>150 BP. Compatible Skill Tags: Direct Damage, Physical. Compatible Target Rules: Enemy Unit. Effect: remove Physical and add Ice. Does not directly inflict Frozen on a dry target; Wet plus Ice may convert Wet into Frozen. Cannot coexist with another elemental assignment.</t>
  </si>
  <si>
    <t>Blinding</t>
  </si>
  <si>
    <t>150 BP. Compatible Skill Tags: Direct Damage. Compatible Target Rules: Enemy Unit. Applies Blind. Delivery: per successful hit.</t>
  </si>
  <si>
    <t>Crippling</t>
  </si>
  <si>
    <t>200 BP. Compatible Skill Tags: Direct Damage. Compatible Target Rules: Enemy Unit. Applies Crippled. Delivery: per successful hit.</t>
  </si>
  <si>
    <t>200 BP. Compatible Skill Tags: Direct Damage. Compatible Target Rules: Enemy Unit. Applies existing Mana Burn debuff. Delivery: per successful hit.</t>
  </si>
  <si>
    <t>Silencing</t>
  </si>
  <si>
    <t>250 BP. Compatible Skill Tags: Direct Damage. Compatible Target Rules: Enemy Unit. Applies Silence. Delivery: per successful hit.</t>
  </si>
  <si>
    <t>Disarming</t>
  </si>
  <si>
    <t>100 BP, minimum Rare. Compatible Skill Tags: Direct Damage. Compatible Target Rules: Enemy Unit. Applies Disarmed. Delivery: per successful hit. Prevents Basic Attack only; Skill Cards remain usable.</t>
  </si>
  <si>
    <t>Shattering</t>
  </si>
  <si>
    <t>Muting</t>
  </si>
  <si>
    <t>80 BP, minimum Rare. Compatible Skill Tags: Direct Damage. Compatible Target Rules: Enemy Unit. Applies Mute. Delivery: per successful hit. Disables attached Augments only; base Skill Cards remain usable.</t>
  </si>
  <si>
    <t>Cursing</t>
  </si>
  <si>
    <t>150 BP. Compatible Skill Tags: Direct Damage. Compatible Target Rules: Enemy Unit. Applies Cursed: Final Hit Quality -0.25. Delivery: per successful hit.</t>
  </si>
  <si>
    <t>Weakening</t>
  </si>
  <si>
    <t>200 BP, minimum Epic. Compatible Skill Tags: Direct Damage. Compatible Target Rules: Enemy Unit. Applies Weakened: all six primary stats -10%. Delivery: per successful hit.</t>
  </si>
  <si>
    <t>Stagger</t>
  </si>
  <si>
    <t>Timeline / Position</t>
  </si>
  <si>
    <t>Crushing Blow</t>
  </si>
  <si>
    <t>Accelerating Momentum</t>
  </si>
  <si>
    <t>Push</t>
  </si>
  <si>
    <t>Heavy Push</t>
  </si>
  <si>
    <t>Pull</t>
  </si>
  <si>
    <t>Step Back</t>
  </si>
  <si>
    <t>Pursuit</t>
  </si>
  <si>
    <t>Groundbreaker</t>
  </si>
  <si>
    <t>Quick Recovery</t>
  </si>
  <si>
    <t>Long Shot</t>
  </si>
  <si>
    <t>Deadeye</t>
  </si>
  <si>
    <t>Eagle Eye</t>
  </si>
  <si>
    <t>Rush Step</t>
  </si>
  <si>
    <t>Lifesteal</t>
  </si>
  <si>
    <t>Lifesteal compatibility: Skill Tags Direct Damage; Target Rules Enemy Unit. Heal using authored percentage of final enemy HP damage dealt. Delivery: per qualifying damage resolution. If final HP damage is zero, heals zero. Exact tiers/effects remain parked unless separately approved.</t>
  </si>
  <si>
    <t>Resource / Sustain</t>
  </si>
  <si>
    <t>MP Save</t>
  </si>
  <si>
    <t>MP Recovery may exist only as an explicitly authored effect. It does not restore or imply universal INT-derived natural MP regeneration. Exact effect, tier, and positive BP pricing remain future balancing work.</t>
  </si>
  <si>
    <t>Arcane Battery</t>
  </si>
  <si>
    <t>Blood Pact</t>
  </si>
  <si>
    <t>Purifier</t>
  </si>
  <si>
    <t>Purge</t>
  </si>
  <si>
    <t>Dispel Ward</t>
  </si>
  <si>
    <t>Follow Through</t>
  </si>
  <si>
    <t>Battle Momentum</t>
  </si>
  <si>
    <t>Extended Reach I: 150 BP, Maximum Attack Range +1. Extended Reach II: 300 BP, +2. Only one tier may roll; no global Maximum Range cap. Does not change Minimum Range, projectile type, pattern size, Splash size, or AOE size. Incompatible with Cleave and Adjacent.</t>
  </si>
  <si>
    <t>High-Rarity Mechanics</t>
  </si>
  <si>
    <t>Strider</t>
  </si>
  <si>
    <t>Leaper</t>
  </si>
  <si>
    <t>Far Cast</t>
  </si>
  <si>
    <t>Fast Channel</t>
  </si>
  <si>
    <t>Projectile ranged weapons only. Tier I: 75 BP, Minimum Range -1. Tier II: 150 BP, Minimum Range -2. Final Minimum Range cannot fall below 1. Minimum Range 1 cannot roll; Minimum Range 2 may roll Tier I only; Minimum Range 3+ may roll either tier.</t>
  </si>
  <si>
    <t>Line Conversion</t>
  </si>
  <si>
    <t>Line 2 Conversion: 250 BP. Single-base only. Primary Target receives full damage; tile directly behind Primary Target along attack line is also affected. One weapon action, not a separate attack.</t>
  </si>
  <si>
    <t>Cleave Conversion</t>
  </si>
  <si>
    <t>Cleave Conversion: 250 BP. Melee only, base Maximum Range 1, no whips/extended-reach melee. Strikes three adjacent forward tiles from attacker. Cannot coexist with Extended Reach.</t>
  </si>
  <si>
    <t>Impact Splash Conversion</t>
  </si>
  <si>
    <t>250 BP. Projectile weapons only. Primary Target receives 100% damage; four cardinally adjacent splash tiles receive 50% damage. Splash is centered on impact tile; Maximum Range does not enlarge splash.</t>
  </si>
  <si>
    <t>Twin Strike</t>
  </si>
  <si>
    <t>Spell Echo</t>
  </si>
  <si>
    <t>Projectile Conversion</t>
  </si>
  <si>
    <t>Selective Pattern</t>
  </si>
  <si>
    <t>Guard Pierce</t>
  </si>
  <si>
    <t>Reaction Strike</t>
  </si>
  <si>
    <t>Gold Find</t>
  </si>
  <si>
    <t>Loot / Economy</t>
  </si>
  <si>
    <t>Item Find</t>
  </si>
  <si>
    <t>Equipment Find</t>
  </si>
  <si>
    <t>Consumable Find</t>
  </si>
  <si>
    <t>Skill Card Find</t>
  </si>
  <si>
    <t>Augment Card Find</t>
  </si>
  <si>
    <t>Doctrine Find</t>
  </si>
  <si>
    <t>Rarity Find</t>
  </si>
  <si>
    <t>Seed approved; exact effect, tier, eligibility, Fortune interaction, and positive BP pricing remain future balancing work.</t>
  </si>
  <si>
    <t>Treasure Quality</t>
  </si>
  <si>
    <t>See 05 EQUIPMENT ITEMS!D207 — canonical text; not duplicated here.</t>
  </si>
  <si>
    <t>Fortune Conversion</t>
  </si>
  <si>
    <t>Mana Erosion</t>
  </si>
  <si>
    <t>200 BP. Compatible Skill Tags: Direct Damage. Compatible Target Rules: Enemy Unit. Requested MP Loss = round(Final HP Damage Dealt × 50%). Actual MP Loss = min(Current MP, Requested MP Loss). Causes no bonus HP damage. Delivery: per qualifying damage hit. Each hit resolves separately. If final HP damage is 0, MP loss is 0.</t>
  </si>
  <si>
    <t>Mana Rupture</t>
  </si>
  <si>
    <t>250 BP. Compatible Skill Tags: Direct Damage. Compatible Target Rules: Enemy Unit. Requested MP Loss = round(Target Max MP × 15%). Actual MP Removed = min(Current MP, Requested MP Loss). Bonus Damage = Actual MP Removed. Delivery: per successful hit. Requires actual MP removal; at 0 MP it causes no MP loss or bonus damage. Each hit resolves separately.</t>
  </si>
  <si>
    <t>Cone Conversion</t>
  </si>
  <si>
    <t>250 BP. Single-base pattern conversion. Primary Target 100%; three secondary targets 50%. Cardinal: width-three row behind target. Diagonal: target near corner of 2x2 block. Extended Reach may coexist but does not enlarge Cone.</t>
  </si>
  <si>
    <t>Adjacent Conversion</t>
  </si>
  <si>
    <t>250 BP. Melee only, base Maximum Range 1, no whips/extended reach. Targets four cardinally adjacent enemies; selected Primary Target 100%, other affected enemies 75%, max affected targets 4. Cannot coexist with Extended Reach.</t>
  </si>
  <si>
    <t>Chain Conversion</t>
  </si>
  <si>
    <t>250 BP. Max 4 targets. Damage sequence 100%, 80%, 64%, 51.2%. Each jump searches closest eligible unhit enemy within 2 tiles using 8-direction distance and +/-2 elevation from previous target; stable order breaks ties. Extended Reach affects only initial target selection.</t>
  </si>
  <si>
    <t>Skill Framework  |  Source: Core Game Manual v0.9::Skill Framework</t>
  </si>
  <si>
    <t>Unified Skill Card Framework</t>
  </si>
  <si>
    <t>Level-less authored active abilities, explicit costs, inheritance, tags, timing, and compatibility.</t>
  </si>
  <si>
    <t>Skill Card Field</t>
  </si>
  <si>
    <t>Purpose / Rule</t>
  </si>
  <si>
    <t>Skill Name</t>
  </si>
  <si>
    <t>Authored active ability name.</t>
  </si>
  <si>
    <t>Skill Tags</t>
  </si>
  <si>
    <t>Minimal catalog: Direct Damage, Healing, Shield, Buff, Debuff, Utility, Summon; Physical, Fire, Water, Ice, Electric, Earth, Dark, Holy, Poison. Do not use Direct Hit, Terrain, Movement, Displacement, or Non-Elemental as core tags.</t>
  </si>
  <si>
    <t>Target Rules</t>
  </si>
  <si>
    <t>Enemy Unit, Ally Unit, Self, Ground, Object, Empty Tile, etc. Compatibility uses declared Target Rules, not actual resolution frequency.</t>
  </si>
  <si>
    <t>AP Cost</t>
  </si>
  <si>
    <t>All Skills cost 1 AP unless an explicit approved rule says otherwise.</t>
  </si>
  <si>
    <t>RT Cost Formula</t>
  </si>
  <si>
    <t>Explicit authored formula. Any cost field may be zero.</t>
  </si>
  <si>
    <t>MP Cost Formula</t>
  </si>
  <si>
    <t>Scales through Effective Skill Level, not actual Max MP. Example: MP Cost = Base MP Cost + MP Growth x (Effective Skill Level - 1). Round once at final result. May be zero. No separate burden field exists.</t>
  </si>
  <si>
    <t>Channel Time</t>
  </si>
  <si>
    <t>Measured in CT. Interruptible. Reduced by DEX using the approved Channel Time formula. Zero means no channeling. If interrupted, the Skill does not proceed to Activation Time.</t>
  </si>
  <si>
    <t>Activation Time</t>
  </si>
  <si>
    <t>Measured in CT. Begins after Channel Time. Non-interruptible after being scheduled. Not reduced by DEX by default. Zero means immediate activation after Channel Time.</t>
  </si>
  <si>
    <t>Power Formula</t>
  </si>
  <si>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</si>
  <si>
    <t>RT Delay Formula</t>
  </si>
  <si>
    <t>Authored formula; target RT Delay remains separate from user RT Cost.</t>
  </si>
  <si>
    <t>Weapon Damage Inheritance</t>
  </si>
  <si>
    <t>Explicit percent/multiplier/conversion, or None.</t>
  </si>
  <si>
    <t>Weapon WT Inheritance</t>
  </si>
  <si>
    <t>Explicit Effective Weapon WT inheritance and use, or None. Each Skill Card explicitly declares whether and how much Effective Weapon WT it inherits from its equipped main-hand weapon.</t>
  </si>
  <si>
    <t>Weapon RT Delay Inheritance</t>
  </si>
  <si>
    <t>Explicit target RT Delay source/multiplier, or None.</t>
  </si>
  <si>
    <t>Weapon Defense Inheritance</t>
  </si>
  <si>
    <t>Explicit Weapon Defense inheritance percentage, multiplier, conversion formula, or None. The Skill must state exactly how inherited Weapon Defense affects its result.</t>
  </si>
  <si>
    <t>Weapon Range Inheritance</t>
  </si>
  <si>
    <t>Explicit only. If a ranged profile is inherited, the Skill must account for Maximum Range, Minimum Range, projectile type, path rules, LoS/Arc validation, and authored range modifier.</t>
  </si>
  <si>
    <t>Weapon Pattern Inheritance</t>
  </si>
  <si>
    <t>Explicitly declare one of the following: inherit Weapon Pattern, use an authored Skill Pattern, or use no Weapon Pattern inheritance. Pattern inheritance is never automatic.</t>
  </si>
  <si>
    <t>Projectile Type or Projectile Inheritance</t>
  </si>
  <si>
    <t>Declare Authored Projectile Type, Inherit Weapon Projectile Type, or No Projectile. Inherited projectile type normally observes weapon Minimum Range and projectile rules unless explicitly overridden.</t>
  </si>
  <si>
    <t>Bonus Skill Range Inheritance</t>
  </si>
  <si>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</si>
  <si>
    <t>Eligible Weapon Passives</t>
  </si>
  <si>
    <t>Each passive declares compatible Skill tags, Target Rules, effect, delivery frequency, timing, and restrictions.</t>
  </si>
  <si>
    <t>Skill Potency Eligibility</t>
  </si>
  <si>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</si>
  <si>
    <t>Center Spread, Selected Area, or None as authored.</t>
  </si>
  <si>
    <t>Effects</t>
  </si>
  <si>
    <t>Damage, healing, shield, buff, debuff, utility, summon, terrain/object effect if authored, etc.</t>
  </si>
  <si>
    <t>Compatibility Requirements</t>
  </si>
  <si>
    <t>Binary validation requirements. Not equip costs.</t>
  </si>
  <si>
    <t>Augment Slots</t>
  </si>
  <si>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</si>
  <si>
    <t>Special Rules</t>
  </si>
  <si>
    <t>Any unique timing, snapshotting, ownership, targeting, or exception text.</t>
  </si>
  <si>
    <t>Current Rule</t>
  </si>
  <si>
    <t>Skill Card identity</t>
  </si>
  <si>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</si>
  <si>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</si>
  <si>
    <t>Skill rarity</t>
  </si>
  <si>
    <t>Skill Card rarity and Augment Card rarity represent acquisition scarcity only. Rarity does not change Skill power, Skill level, BP, procedural statistics, mechanics, or Augment Slot count. Every Skill Card always has exactly 2 Augment Slots.</t>
  </si>
  <si>
    <t>No cooldowns</t>
  </si>
  <si>
    <t>Skill Cards have RT Cost, MP Cost, Channel Time, and Activation Time. Any field may be zero. There are no Skill Card cooldowns.</t>
  </si>
  <si>
    <t>Channeling</t>
  </si>
  <si>
    <t>Interrupted by KO, Silence, Stun-like effects, or specific interrupting debuffs. If still channeling when next turn arrives, turn becomes Rest.</t>
  </si>
  <si>
    <t>Not interruptible after scheduling. Resolves at scheduled CT and is not reduced by DEX unless explicit Skill, passive, equipment, status, Doctrine, Focus, or Augment wording says so.</t>
  </si>
  <si>
    <t>Summons</t>
  </si>
  <si>
    <t>Summoned units enter at RT = 400 and join timeline naturally. No immediate free turn unless an explicit summon rule says otherwise.</t>
  </si>
  <si>
    <t>Snapshotting and ownership</t>
  </si>
  <si>
    <t>Persistent effects retain original source/caster ownership. Eligible numerical values are snapshotted when committed, cast, applied, or created; later source changes do not recalculate existing effects.</t>
  </si>
  <si>
    <t>Elemental conversion</t>
  </si>
  <si>
    <t>Normal elemental conversion passives are compatible only with eligible Physical Direct Damage Skills. Conversion removes Physical and adds the passive elemental tag. Authored elemental Skills are not eligible for ordinary weapon elemental conversion.</t>
  </si>
  <si>
    <t>Determined only by Skill effect tags and Skill Target Rules. Actual resolution results determine produced value after compatibility is established. Delivery may be once per Skill action, once per affected target, or once per successful hit.</t>
  </si>
  <si>
    <t>Authored Targeting Range framework</t>
  </si>
  <si>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</si>
  <si>
    <t>Working simulation framework</t>
  </si>
  <si>
    <t>Representative Baseline Skill</t>
  </si>
  <si>
    <t>Steal</t>
  </si>
  <si>
    <t>Locked baseline; reward-pool content parked</t>
  </si>
  <si>
    <t>Tags</t>
  </si>
  <si>
    <t>Utility</t>
  </si>
  <si>
    <t>Enemy Unit</t>
  </si>
  <si>
    <t>Range</t>
  </si>
  <si>
    <t>Fixed 1; Bonus Skill Range Inheritance = 0%</t>
  </si>
  <si>
    <t>Weapon Property Inheritance</t>
  </si>
  <si>
    <t>Weapon Passive Compatibility</t>
  </si>
  <si>
    <t>2 + round(0.04 x (Effective Skill Level - 1))</t>
  </si>
  <si>
    <t>200 CT</t>
  </si>
  <si>
    <t>0 CT</t>
  </si>
  <si>
    <t>60 + round(0.25 x (Effective Skill Level - 1))</t>
  </si>
  <si>
    <t>Commitment</t>
  </si>
  <si>
    <t>Select an enemy unit at exactly Range 1; unit-lock the target; begin Channel Time; rear positioning checked at activation, not commitment.</t>
  </si>
  <si>
    <t>Success at activation</t>
  </si>
  <si>
    <t>Target remains valid enemy unit; caster exactly one tile away; caster occupies target current rear tile by target facing at activation; caster and target remain valid combat units; target has available Steal reward.</t>
  </si>
  <si>
    <t>Failure</t>
  </si>
  <si>
    <t>If any condition fails, Steal fails; no loot generated; AP, MP, elapsed Channel Time, and RT Cost are not refunded.</t>
  </si>
  <si>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</si>
  <si>
    <t>Reward</t>
  </si>
  <si>
    <t>Successful Steal generates exactly one reward opportunity from the target’s authored/generated Steal reward pool. Expedition Fortune does not change category; it modifies eligible reward quality using normal category-specific quality rules.</t>
  </si>
  <si>
    <t>Repeat limit</t>
  </si>
  <si>
    <t>A target may be successfully stolen from once per battle. Failed attempts do not consume availability. Successful Steal marks the target already stolen from.</t>
  </si>
  <si>
    <t>Reward independence</t>
  </si>
  <si>
    <t>Steal reward is separate from possible KO reward and does not consume, replace, predetermine, or reduce later KO reward.</t>
  </si>
  <si>
    <t>Working targeting-range categories</t>
  </si>
  <si>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</si>
  <si>
    <t>Skills  |  Source: Core Game Manual v0.9::Skills</t>
  </si>
  <si>
    <t>Authoritative Skills Catalog — v0.9</t>
  </si>
  <si>
    <t>One row per complete Skill profile. This sheet is authoritative for Skills; the prior Skill Framework table is summary/history only.</t>
  </si>
  <si>
    <t>Skill ID</t>
  </si>
  <si>
    <t>Content Source</t>
  </si>
  <si>
    <t>Power / Primary Effect Formula</t>
  </si>
  <si>
    <t>Projectile Type / Inheritance</t>
  </si>
  <si>
    <t>Authored Targeting Range</t>
  </si>
  <si>
    <t>Reapplication / Stacking</t>
  </si>
  <si>
    <t>Snapshot Timing</t>
  </si>
  <si>
    <t>Source Ownership</t>
  </si>
  <si>
    <t>Kill-Credit Rule</t>
  </si>
  <si>
    <t>Trigger / Reaction Classification</t>
  </si>
  <si>
    <t>Calibration Status</t>
  </si>
  <si>
    <t>Documentation Status</t>
  </si>
  <si>
    <t>Missing-Field Check</t>
  </si>
  <si>
    <t>Referenced By</t>
  </si>
  <si>
    <t>SKL-FIRE-BOLT</t>
  </si>
  <si>
    <t>Fire Bolt</t>
  </si>
  <si>
    <t>Representative Baseline</t>
  </si>
  <si>
    <t>Direct Damage, Fire</t>
  </si>
  <si>
    <t>round(Effective Weapon WT × 1.00)</t>
  </si>
  <si>
    <t>round(3 + 0.08 × (L - 1))</t>
  </si>
  <si>
    <t>Weapon Attack Power × 1.10 × Skill Potency Multiplier</t>
  </si>
  <si>
    <t>round(Weapon RT Delay × 0.50)</t>
  </si>
  <si>
    <t>Weapon Attack Power × 1.10</t>
  </si>
  <si>
    <t>Authored Single</t>
  </si>
  <si>
    <t>Authored Direct</t>
  </si>
  <si>
    <t>Fixed 4; add 100% inherited Bonus Skill Range</t>
  </si>
  <si>
    <t>Compatible passives by tags/rules; authored Fire overrides weapon element</t>
  </si>
  <si>
    <t>Applies to final Power Formula</t>
  </si>
  <si>
    <t>Authored Single pattern; Fire damage</t>
  </si>
  <si>
    <t>At commitment; persistent/created effects snapshot when created as authored</t>
  </si>
  <si>
    <t>Caster</t>
  </si>
  <si>
    <t>Caster when primary Skill damage directly causes KO</t>
  </si>
  <si>
    <t>Active AP-consuming Skill; special triggers only as authored</t>
  </si>
  <si>
    <t>2</t>
  </si>
  <si>
    <t>Authored Fire overrides weapon element. Does not inherit Weapon Range or Weapon Pattern.</t>
  </si>
  <si>
    <t>Working simulation baseline; not final balance.</t>
  </si>
  <si>
    <t>Complete working profile</t>
  </si>
  <si>
    <t>Representative baseline; Doctrine references where applicable</t>
  </si>
  <si>
    <t>SKL-FROSTBIND</t>
  </si>
  <si>
    <t>Frostbind</t>
  </si>
  <si>
    <t>Direct Damage, Debuff, Ice</t>
  </si>
  <si>
    <t>round(Effective Weapon WT × 0.75)</t>
  </si>
  <si>
    <t>round(3 + 0.10 × (L - 1))</t>
  </si>
  <si>
    <t>100 CT</t>
  </si>
  <si>
    <t>Weapon Attack Power × 0.70 × Skill Potency Multiplier</t>
  </si>
  <si>
    <t>round(Weapon RT Delay × 0.25)</t>
  </si>
  <si>
    <t>Weapon Attack Power × 0.70</t>
  </si>
  <si>
    <t>Fixed 3; add 100% inherited Bonus Skill Range</t>
  </si>
  <si>
    <t>Compatible passives by tags/rules</t>
  </si>
  <si>
    <t>Applies to damage only</t>
  </si>
  <si>
    <t>Deals Ice damage. If target is Wet, remove Wet and apply Frozen. Does not directly inflict Frozen on a dry target.</t>
  </si>
  <si>
    <t>SKL-HEALING-LIGHT</t>
  </si>
  <si>
    <t>Healing Light</t>
  </si>
  <si>
    <t>Healing, Holy</t>
  </si>
  <si>
    <t>Ally Unit, Self</t>
  </si>
  <si>
    <t>round(Effective Weapon WT × 0.50)</t>
  </si>
  <si>
    <t>round(4 + 0.12 × (L - 1))</t>
  </si>
  <si>
    <t>(10 + 0.25L + 0.35INT + Weapon Damage × 0.30) × Skill Potency Multiplier</t>
  </si>
  <si>
    <t>30% raw Weapon Damage</t>
  </si>
  <si>
    <t>No Projectile</t>
  </si>
  <si>
    <t>None from the current offensive passive catalog</t>
  </si>
  <si>
    <t>Applies to Healing Formula</t>
  </si>
  <si>
    <t>Restore HP, then apply recipient Healing Efficiency.</t>
  </si>
  <si>
    <t>SKL-DARK-RESTORATION</t>
  </si>
  <si>
    <t>Dark Restoration</t>
  </si>
  <si>
    <t>Healing, Direct Damage, Dark</t>
  </si>
  <si>
    <t>Ally Unit, Enemy Unit, Self</t>
  </si>
  <si>
    <t>round(Effective Weapon WT × 0.60)</t>
  </si>
  <si>
    <t>round(5 + 0.14 × (L - 1))</t>
  </si>
  <si>
    <t>150 CT</t>
  </si>
  <si>
    <t>(12 + 0.30L + 0.35INT + Weapon Damage × 0.35) × Skill Potency Multiplier</t>
  </si>
  <si>
    <t>35% raw Weapon Damage</t>
  </si>
  <si>
    <t>Fixed 3; add 100% inherited Bonus Skill Range
This same targeting distance applies to its Ally Unit, Enemy Unit, and Self branches.</t>
  </si>
  <si>
    <t>Passives requiring Direct Damage plus Enemy Unit are compatible only while resolving the enemy-damage branch.</t>
  </si>
  <si>
    <t>Applies to healing and damage branch</t>
  </si>
  <si>
    <t>Heal an Undead Ally or Self target. Deal Dark damage to an Enemy Unit. Dark damage follows normal Undead Race Tag interaction.</t>
  </si>
  <si>
    <t>SKL-ARCANE-BARRIER</t>
  </si>
  <si>
    <t>Arcane Barrier</t>
  </si>
  <si>
    <t>Shield, Buff</t>
  </si>
  <si>
    <t>(12 + 0.25L + Weapon Defense × 1.50 + 0.25INT) × Skill Potency Multiplier</t>
  </si>
  <si>
    <t>Fixed 3; add 50% inherited Bonus Skill Range</t>
  </si>
  <si>
    <t>Offensive passives incompatible</t>
  </si>
  <si>
    <t>Applies to Shield Formula</t>
  </si>
  <si>
    <t>Shield</t>
  </si>
  <si>
    <t>SKL-RAINFALL-ZONE</t>
  </si>
  <si>
    <t>Rainfall Zone</t>
  </si>
  <si>
    <t>Debuff, Water</t>
  </si>
  <si>
    <t>Ground, including occupied Ground</t>
  </si>
  <si>
    <t>round(70 + 0.30L)</t>
  </si>
  <si>
    <t>round(5 + 0.16 × (L - 1))</t>
  </si>
  <si>
    <t>250 CT</t>
  </si>
  <si>
    <t>Authored Circle, radius 2</t>
  </si>
  <si>
    <t>Fixed anchor range 4; add 100% inherited Bonus Skill Range
This range selects the Pattern anchor. It does not increase the authored Circle radius 2.</t>
  </si>
  <si>
    <t>Selected Area</t>
  </si>
  <si>
    <t>Does not trigger weapon passives requiring Enemy Unit Target Rules</t>
  </si>
  <si>
    <t>Apply Wet to compatible affected tiles using the approved Wet duration.</t>
  </si>
  <si>
    <t>Authored Selected Area.</t>
  </si>
  <si>
    <t>SKL-STONE-PRISON</t>
  </si>
  <si>
    <t>Stone Prison</t>
  </si>
  <si>
    <t>Debuff, Earth</t>
  </si>
  <si>
    <t>round(7 + 0.24 × (L - 1))</t>
  </si>
  <si>
    <t>300 CT</t>
  </si>
  <si>
    <t>Lacks Direct Damage and does not trigger Direct Damage weapon passives</t>
  </si>
  <si>
    <t>Inflict Petrify. Boss and hard-control rules apply normally.</t>
  </si>
  <si>
    <t>SKL-CHAIN-SPARK</t>
  </si>
  <si>
    <t>Chain Spark</t>
  </si>
  <si>
    <t>Direct Damage, Electric</t>
  </si>
  <si>
    <t>round(6 + 0.20 × (L - 1))</t>
  </si>
  <si>
    <t>Weapon Attack Power × 0.80 × Skill Potency Multiplier</t>
  </si>
  <si>
    <t>round(Weapon RT Delay × 0.25) per affected target</t>
  </si>
  <si>
    <t>Weapon Attack Power × 0.80</t>
  </si>
  <si>
    <t>Authored Chain, maximum four targets</t>
  </si>
  <si>
    <t>Fixed initial-target range 4; add 100% inherited Bonus Skill Range
Bonus Skill Range affects only initial-target selection. It does not increase Chain-jump distance or maximum target count.</t>
  </si>
  <si>
    <t>Per-hit or per-target delivery follows each passive Delivery rule</t>
  </si>
  <si>
    <t>Applies to damage</t>
  </si>
  <si>
    <t>First target 100%, second 80%, third 64%, fourth 51.2%.</t>
  </si>
  <si>
    <t>SKL-METEOR-MARKER</t>
  </si>
  <si>
    <t>Meteor Marker</t>
  </si>
  <si>
    <t>Direct Damage, Fire, Debuff</t>
  </si>
  <si>
    <t>round(Effective Weapon WT × 1.40)</t>
  </si>
  <si>
    <t>round(8 + 0.30 × (L - 1))</t>
  </si>
  <si>
    <t>400 CT</t>
  </si>
  <si>
    <t>Center Power = Weapon Attack Power × 1.50 × Skill Potency Multiplier; Secondary Power = 50% of center Power</t>
  </si>
  <si>
    <t>Weapon Attack Power × 1.50</t>
  </si>
  <si>
    <t>Authored 3 × 3 Center Spread</t>
  </si>
  <si>
    <t>Authored Arc</t>
  </si>
  <si>
    <t>Fixed center-selection range 5; add 100% inherited Bonus Skill Range
This range selects the Center Tile. It does not enlarge the authored 3 × 3 Center Spread.</t>
  </si>
  <si>
    <t>Center Spread</t>
  </si>
  <si>
    <t>Applies to center Power before secondary percentage</t>
  </si>
  <si>
    <t>Fire damage, Burn generation from actual Fire damage, friendly fire.</t>
  </si>
  <si>
    <t>SKL-PHANTOM-EXCHANGE</t>
  </si>
  <si>
    <t>Phantom Exchange</t>
  </si>
  <si>
    <t>Ally Unit</t>
  </si>
  <si>
    <t>round(60 + 0.35L)</t>
  </si>
  <si>
    <t>Fixed 4; add 100% inherited Bonus Skill Range
Targeting Range selects the ally. It does not independently increase swap destination distance because the swap uses the selected ally’s occupied tile.</t>
  </si>
  <si>
    <t>Swap caster and selected ally if both destinations are legal at activation. If illegal, the Skill fails without refund.</t>
  </si>
  <si>
    <t>SKL-BLINK</t>
  </si>
  <si>
    <t>Blink</t>
  </si>
  <si>
    <t>Empty Tile</t>
  </si>
  <si>
    <t>round(40 + 0.20L)</t>
  </si>
  <si>
    <t>Authored Range Formula: 2 + floor(AGI / 40); Bonus Skill Range Inheritance = 0%</t>
  </si>
  <si>
    <t>Range Formula: 2 + floor(AGI / 40). Teleport caster to selected legal empty tile.</t>
  </si>
  <si>
    <t>Weapon Property Inheritance: None. Weapon Passive Compatibility: None. MP Cost still scales through Effective Skill Level.</t>
  </si>
  <si>
    <t>SKL-VITAL-BARRIER</t>
  </si>
  <si>
    <t>Vital Barrier</t>
  </si>
  <si>
    <t>50 CT</t>
  </si>
  <si>
    <t>(10 + 0.20L + 0.75VIT + Weapon Defense × 0.50) × Skill Potency Multiplier</t>
  </si>
  <si>
    <t>Shield and buff</t>
  </si>
  <si>
    <t>SKL-FATED-ESCAPE</t>
  </si>
  <si>
    <t>Fated Escape</t>
  </si>
  <si>
    <t>round(55 + 0.25L)</t>
  </si>
  <si>
    <t>round(4 + 0.10 × (L - 1))</t>
  </si>
  <si>
    <t>Authored Range Formula: 2 + floor(LUK / 50); Bonus Skill Range Inheritance = 0%</t>
  </si>
  <si>
    <t>Range Formula: 2 + floor(LUK / 50). Teleport selected ally to a committed legal tile cardinally adjacent to caster.</t>
  </si>
  <si>
    <t>SKL-POWER-STRIKE</t>
  </si>
  <si>
    <t>Power Strike</t>
  </si>
  <si>
    <t>Direct Damage, Physical</t>
  </si>
  <si>
    <t>round(Effective Weapon WT × 1.25)</t>
  </si>
  <si>
    <t>Weapon Attack Power × 1.25 × Skill Potency Multiplier</t>
  </si>
  <si>
    <t>round(Weapon RT Delay × 1.00)</t>
  </si>
  <si>
    <t>Weapon Attack Power × 1.25</t>
  </si>
  <si>
    <t>If projectile-compatible, inherit complete weapon ranged profile. Otherwise use the weapon’s normal legal reach.</t>
  </si>
  <si>
    <t>Inherit Weapon Pattern</t>
  </si>
  <si>
    <t>Inherit Weapon Projectile Type when compatible</t>
  </si>
  <si>
    <t>If projectile-compatible, inherit the complete Weapon Range profile, including Maximum Range and Minimum Range. Otherwise use the equipped weapon’s normal legal reach.</t>
  </si>
  <si>
    <t>As inherited/authored</t>
  </si>
  <si>
    <t>Physical strike</t>
  </si>
  <si>
    <t>Compatible weapon as final rule requires</t>
  </si>
  <si>
    <t>SKL-SWEEPING-CUT</t>
  </si>
  <si>
    <t>Sweeping Cut</t>
  </si>
  <si>
    <t>round(Effective Weapon WT × 1.50)</t>
  </si>
  <si>
    <t>Weapon Attack Power × 0.90 × Skill Potency Multiplier</t>
  </si>
  <si>
    <t>round(Weapon RT Delay × 0.75)</t>
  </si>
  <si>
    <t>Weapon Attack Power × 0.90</t>
  </si>
  <si>
    <t>Authored Cleave</t>
  </si>
  <si>
    <t>Fixed 1; Bonus Skill Range Inheritance = 0%
Sweeping Cut uses its authored caster-origin Cleave. Targeting Range does not enlarge Cleave dimensions.</t>
  </si>
  <si>
    <t>Authored Cleave damage</t>
  </si>
  <si>
    <t>Melee weapon</t>
  </si>
  <si>
    <t>SKL-CRUSHING-ADVANCE</t>
  </si>
  <si>
    <t>Crushing Advance</t>
  </si>
  <si>
    <t>round(Weapon RT Delay × 1.25)</t>
  </si>
  <si>
    <t>Fixed 1; Bonus Skill Range Inheritance = 0%
Targeting Range does not increase Knockback distance.</t>
  </si>
  <si>
    <t>Apply authored Knockback based on Force.</t>
  </si>
  <si>
    <t>SKL-LONGSHOT</t>
  </si>
  <si>
    <t>Longshot</t>
  </si>
  <si>
    <t>Weapon Attack Power × 1.30 × Skill Potency Multiplier</t>
  </si>
  <si>
    <t>Weapon Attack Power × 1.30</t>
  </si>
  <si>
    <t>Inherit complete weapon Maximum Range and Minimum Range</t>
  </si>
  <si>
    <t>Inherit Weapon Projectile Type and path restrictions</t>
  </si>
  <si>
    <t>Inherit complete Weapon Range profile, including Maximum Range and Minimum Range.</t>
  </si>
  <si>
    <t>Long-range attack</t>
  </si>
  <si>
    <t>Projectile weapon</t>
  </si>
  <si>
    <t>SKL-HAMSTRING</t>
  </si>
  <si>
    <t>Hamstring</t>
  </si>
  <si>
    <t>Direct Damage, Debuff, Physical</t>
  </si>
  <si>
    <t>Weapon Attack Power × 0.65 × Skill Potency Multiplier</t>
  </si>
  <si>
    <t>Weapon Attack Power × 0.65</t>
  </si>
  <si>
    <t>Inherit normal legal reach; for a compatible projectile weapon, inherit the complete Weapon Range profile including Maximum Range and Minimum Range.</t>
  </si>
  <si>
    <t>Inherit only when compatible</t>
  </si>
  <si>
    <t>Use the equipped weapon’s normal legal reach. If used with a compatible projectile weapon, use the complete Weapon Range profile, including Maximum Range and Minimum Range. Bonus Skill Range Inheritance = 0%.</t>
  </si>
  <si>
    <t>Inflict Crippled after successful HP damage.</t>
  </si>
  <si>
    <t>SKL-EXECUTION-STROKE</t>
  </si>
  <si>
    <t>Execution Stroke</t>
  </si>
  <si>
    <t>round(Effective Weapon WT × 2.00)</t>
  </si>
  <si>
    <t>round(6 + 0.18 × (L - 1))</t>
  </si>
  <si>
    <t>Normal Power = Weapon Attack Power × 1.40 × Skill Potency Multiplier; Finisher Power = Weapon Attack Power × 2.10 × Skill Potency Multiplier when target HP is at or below 25% Max HP at activation</t>
  </si>
  <si>
    <t>Normal: Weapon Attack Power × 1.40
Finisher: Weapon Attack Power × 2.10</t>
  </si>
  <si>
    <t>If the Skill uses a compatible projectile weapon, inherit the complete weapon ranged profile, including Maximum Range, Minimum Range, Projectile Type, path restrictions, and LoS or Arc validation. Otherwise use the weapon’s normal legal melee reach.</t>
  </si>
  <si>
    <t>If used with a compatible projectile weapon, inherit the complete Weapon Range profile, including Maximum Range and Minimum Range. Otherwise use the equipped weapon’s normal legal melee reach.</t>
  </si>
  <si>
    <t>Finisher threshold is checked when target HP is at or below 25% Max HP at activation.</t>
  </si>
  <si>
    <t>Execution Stroke is a dedicated finisher. Its normal branch is deliberately not intended to compete with general-purpose direct-damage Skills. Its primary value is the Finisher branch when the target is at or below 25% Max HP at activation.</t>
  </si>
  <si>
    <t>SKL-FIELD-DRESSING</t>
  </si>
  <si>
    <t>Field Dressing</t>
  </si>
  <si>
    <t>Healing</t>
  </si>
  <si>
    <t>(Weapon Attack Power × 0.60 + 0.20L) × Skill Potency Multiplier</t>
  </si>
  <si>
    <t>Weapon Attack Power × 0.60</t>
  </si>
  <si>
    <t>Applies to healing</t>
  </si>
  <si>
    <t>SKL-WEAPON-WARD</t>
  </si>
  <si>
    <t>Weapon Ward</t>
  </si>
  <si>
    <t>(Weapon Attack Power × 0.30 + max(0, Weapon Defense) × 2 + 0.15L) × Skill Potency Multiplier</t>
  </si>
  <si>
    <t>Weapon Attack Power × 0.30</t>
  </si>
  <si>
    <t>200% of positive Weapon Defense</t>
  </si>
  <si>
    <t>Shield/Buff</t>
  </si>
  <si>
    <t>SKL-PURIFYING-FORM</t>
  </si>
  <si>
    <t>Purifying Form</t>
  </si>
  <si>
    <t>Utility, Buff</t>
  </si>
  <si>
    <t>Fixed 3; Bonus Skill Range Inheritance = 0%</t>
  </si>
  <si>
    <t>Remove one selected dispellable debuff. Grant Debuff Resistance +15% for 1000 CT.</t>
  </si>
  <si>
    <t>Numerical values remain pending calibration where not fully locked.</t>
  </si>
  <si>
    <t>SKL-GUARDIAN-S-PROJECTION</t>
  </si>
  <si>
    <t>Guardian’s Projection</t>
  </si>
  <si>
    <t>Granted Defense = round((max(0, Weapon Defense) + 0.10L) × Skill Potency Multiplier)</t>
  </si>
  <si>
    <t>100% of positive Weapon Defense</t>
  </si>
  <si>
    <t>Applies to Granted Defense Formula</t>
  </si>
  <si>
    <t>Duration: 1000 CT</t>
  </si>
  <si>
    <t>SKL-LUCKY-STRIKE</t>
  </si>
  <si>
    <t>Lucky Strike</t>
  </si>
  <si>
    <t>round(3 + 0.09 × (L - 1))</t>
  </si>
  <si>
    <t>LUK Power Bonus = 0.75 × LUK / (100 + LUK); Power Formula = Weapon Attack Power × (1 + LUK Power Bonus) × Skill Potency Multiplier</t>
  </si>
  <si>
    <t>Weapon Attack Power × (1 + LUK Power Bonus)</t>
  </si>
  <si>
    <t>See 06 SKILLS!Q86 — canonical text; not duplicated here.</t>
  </si>
  <si>
    <t>See 06 SKILLS!U86 — canonical text; not duplicated here.</t>
  </si>
  <si>
    <t>Direct damage; Combat Fortune still applies normally.</t>
  </si>
  <si>
    <t>Deterministic. Does not create Critical Hits or random damage. Combat Fortune applies normally.</t>
  </si>
  <si>
    <t>SKL-RAPID-ASSAULT</t>
  </si>
  <si>
    <t>Rapid Assault</t>
  </si>
  <si>
    <t>round(Effective Weapon WT × 1.35)</t>
  </si>
  <si>
    <t>round(4 + 0.14 × (L - 1))</t>
  </si>
  <si>
    <t>Hit Count = min(4, 2 + floor(AGI / 100)); Power Per Hit = Weapon Attack Power × 0.45 × Skill Potency Multiplier</t>
  </si>
  <si>
    <t>round(Weapon RT Delay × 0.25) per hit</t>
  </si>
  <si>
    <t>Weapon Attack Power × 0.45 per hit</t>
  </si>
  <si>
    <t>25% per hit</t>
  </si>
  <si>
    <t>Per-hit weapon passive delivery applies separately</t>
  </si>
  <si>
    <t>Applies separately per hit</t>
  </si>
  <si>
    <t>Each hit resolves damage and applicable per-hit weapon passive delivery separately.</t>
  </si>
  <si>
    <t>SKL-BASTION-PROJECTION</t>
  </si>
  <si>
    <t>Bastion Projection</t>
  </si>
  <si>
    <t>(max(0, Weapon Defense) × 2 + 0.60VIT + 0.10L) × Skill Potency Multiplier</t>
  </si>
  <si>
    <t>SKL-PRECISE-DISARM</t>
  </si>
  <si>
    <t>Precise Disarm</t>
  </si>
  <si>
    <t>Weapon Attack Power × 0.60 × Skill Potency Multiplier</t>
  </si>
  <si>
    <t>Applies to damage only, not duration</t>
  </si>
  <si>
    <t>Disarmed Duration = min(2500 CT, 1000 CT + 10 × DEX). Inflict Disarmed after successful damage.</t>
  </si>
  <si>
    <t>SKL-OPPORTUNIST-S-STEP</t>
  </si>
  <si>
    <t>Opportunist’s Step</t>
  </si>
  <si>
    <t>round(2 + 0.06 × (L - 1))</t>
  </si>
  <si>
    <t>Authored movement-targeting distance = min(4, 1 + floor(AGI / 60)); Bonus Skill Range Inheritance = 0%
This distance selects the destination Empty Tile and is also the maximum legal path distance. Bonus Skill Range does not modify it.</t>
  </si>
  <si>
    <t>Step Distance = min(4, 1 + floor(AGI / 60)). Path-based relocation. Path must be legal. Tile-entry effects resolve normally.</t>
  </si>
  <si>
    <t>Uses authored AGI-based distance.</t>
  </si>
  <si>
    <t>SKL-STEAL</t>
  </si>
  <si>
    <t>60 + round(0.25 × (Effective Skill Level - 1))</t>
  </si>
  <si>
    <t>2 + round(0.04 × (Effective Skill Level - 1))</t>
  </si>
  <si>
    <t>Fixed 1</t>
  </si>
  <si>
    <t>No Skill Potency</t>
  </si>
  <si>
    <t>Deterministic steal reward opportunity from target pool</t>
  </si>
  <si>
    <t>Enemy at exactly Range 1; rear position checked at activation</t>
  </si>
  <si>
    <t>Complete locked Steal definition remains in rows A44:C60. Exact reward-pool content parked.</t>
  </si>
  <si>
    <t>DOC-VANGUARD-01</t>
  </si>
  <si>
    <t>Hold the Line</t>
  </si>
  <si>
    <t>Doctrine-only working profile</t>
  </si>
  <si>
    <t>Buff, Utility</t>
  </si>
  <si>
    <t>Self</t>
  </si>
  <si>
    <t>round(Effective Weapon WT ×0.75)</t>
  </si>
  <si>
    <t>For 1000 CT: Stability +2; direct final damage received -15%; forced displacement still resolves against Stability normally.</t>
  </si>
  <si>
    <t>0.75</t>
  </si>
  <si>
    <t>Authored Self</t>
  </si>
  <si>
    <t>0%</t>
  </si>
  <si>
    <t>Does not apply</t>
  </si>
  <si>
    <t>Refresh; does not stack</t>
  </si>
  <si>
    <t>Defensive stance</t>
  </si>
  <si>
    <t>At commitment; summon stats snapshot when created</t>
  </si>
  <si>
    <t>Caster only when primary Skill damage directly causes KO</t>
  </si>
  <si>
    <t>Active AP-consuming Skill or authored summon/reaction</t>
  </si>
  <si>
    <t>Working simulation baseline; not final balance</t>
  </si>
  <si>
    <t>Doctrine choices</t>
  </si>
  <si>
    <t>DOC-BERSERKER-01</t>
  </si>
  <si>
    <t>Reckless Charge</t>
  </si>
  <si>
    <t>Direct Damage, Physical, Utility</t>
  </si>
  <si>
    <t>round(Effective Weapon WT ×1.50)</t>
  </si>
  <si>
    <t>Weapon Attack Power ×1.20 × Skill Potency Multiplier; move in a legal straight path toward target up to 3 tiles before damage; after resolution lose 10% Current HP, minimum 1 HP.</t>
  </si>
  <si>
    <t>round(Weapon RT Delay ×1.00)</t>
  </si>
  <si>
    <t>Weapon Attack Power ×1.20</t>
  </si>
  <si>
    <t>1.50</t>
  </si>
  <si>
    <t>1.00</t>
  </si>
  <si>
    <t>Normal legal melee reach</t>
  </si>
  <si>
    <t>Up to 3-tile legal charge to melee reach</t>
  </si>
  <si>
    <t>Charge movement then damage then self-cost</t>
  </si>
  <si>
    <t>DOC-ARCANIST-01</t>
  </si>
  <si>
    <t>Mana Surge</t>
  </si>
  <si>
    <t>round(60 + 0.30L)</t>
  </si>
  <si>
    <t>0</t>
  </si>
  <si>
    <t>Restore round(Max MP ×0.20); next eligible Skill committed within 1000 CT gains Skill Potency +10%.</t>
  </si>
  <si>
    <t>Applies only to next eligible Skill</t>
  </si>
  <si>
    <t>Refresh availability; consume on eligible Skill commitment</t>
  </si>
  <si>
    <t>MP recovery and one-use Potency buff</t>
  </si>
  <si>
    <t>DOC-TACTICIAN-01</t>
  </si>
  <si>
    <t>Coordinated Advance</t>
  </si>
  <si>
    <t>round(5 + 0.12 × (L - 1))</t>
  </si>
  <si>
    <t>Target gains Movement Range +2 and Movement RT -20% for 1000 CT.</t>
  </si>
  <si>
    <t>100%</t>
  </si>
  <si>
    <t>Fixed 4 plus inherited Bonus Skill Range</t>
  </si>
  <si>
    <t>Mobility and movement-tempo buff</t>
  </si>
  <si>
    <t>DOC-RANGER-01</t>
  </si>
  <si>
    <t>Hunter’s Mark</t>
  </si>
  <si>
    <t>round(Effective Weapon WT ×1.00)</t>
  </si>
  <si>
    <t>Weapon Attack Power ×0.75 × Skill Potency Multiplier. After successful HP damage, apply personal mark: target takes +15% direct damage from this Ranger and Hide does not block this Ranger. Applying hit is not amplified.</t>
  </si>
  <si>
    <t>round(Weapon RT Delay ×0.50)</t>
  </si>
  <si>
    <t>Weapon Attack Power ×0.75</t>
  </si>
  <si>
    <t>0.50</t>
  </si>
  <si>
    <t>Complete legal weapon range</t>
  </si>
  <si>
    <t>Inherit compatible Weapon Projectile Type</t>
  </si>
  <si>
    <t>Complete weapon range including Minimum Range</t>
  </si>
  <si>
    <t>One mark per Ranger; reapply refreshes/moves mark</t>
  </si>
  <si>
    <t>Damage then personal mark</t>
  </si>
  <si>
    <t>Compatible weapon</t>
  </si>
  <si>
    <t>DOC-WARLORD-01</t>
  </si>
  <si>
    <t>War Cry</t>
  </si>
  <si>
    <t>Self, Allies</t>
  </si>
  <si>
    <t>round(6 + 0.14 × (L - 1))</t>
  </si>
  <si>
    <t>Caster and valid allies in radius gain final direct damage +10% and Stability +1 for 1000 CT.</t>
  </si>
  <si>
    <t>Authored caster-origin Circle radius 3</t>
  </si>
  <si>
    <t>Self centered radius 3</t>
  </si>
  <si>
    <t>Circle radius 3</t>
  </si>
  <si>
    <t>Refresh; does not stack with itself</t>
  </si>
  <si>
    <t>Team offensive/stability buff</t>
  </si>
  <si>
    <t>DOC-SHADOWBINDER-01</t>
  </si>
  <si>
    <t>Veil of Weakness</t>
  </si>
  <si>
    <t>Debuff, Dark</t>
  </si>
  <si>
    <t>round(80 + 0.35L)</t>
  </si>
  <si>
    <t>round(6 + 0.16 × (L - 1))</t>
  </si>
  <si>
    <t>Apply Weakened and reduce Debuff Resistance by 10 percentage points for 1500 CT before resistance/boss handling.</t>
  </si>
  <si>
    <t>Debuff specialization</t>
  </si>
  <si>
    <t>DOC-SPELLBLADE-01</t>
  </si>
  <si>
    <t>Arcane Strike</t>
  </si>
  <si>
    <t>Weapon Attack Power ×1.00 × Skill Potency Multiplier + INT/2 flat Skill Power before Defense.</t>
  </si>
  <si>
    <t>round(Weapon RT Delay ×0.75)</t>
  </si>
  <si>
    <t>Weapon Attack Power ×1.00</t>
  </si>
  <si>
    <t>Complete legal weapon reach</t>
  </si>
  <si>
    <t>Complete legal weapon reach/profile</t>
  </si>
  <si>
    <t>As inherited</t>
  </si>
  <si>
    <t>Hybrid weapon/INT strike</t>
  </si>
  <si>
    <t>DOC-ASCETIC-01</t>
  </si>
  <si>
    <t>Meditate</t>
  </si>
  <si>
    <t>Self, Ally Unit</t>
  </si>
  <si>
    <t>Self: restore 15% Max MP and Debuff Resistance +10% for 1000 CT. Ally: transfer min(Current MP, target missing MP, round(Max MP ×0.12)); target gains Debuff Resistance +10% for 1000 CT.</t>
  </si>
  <si>
    <t>50% for ally form</t>
  </si>
  <si>
    <t>Self or fixed 3 plus 50% Bonus Skill Range</t>
  </si>
  <si>
    <t>Refresh resistance buff</t>
  </si>
  <si>
    <t>Deterministic MP recovery/transfer</t>
  </si>
  <si>
    <t>DOC-TRICKSTER-01</t>
  </si>
  <si>
    <t>Misdirection</t>
  </si>
  <si>
    <t>round(60 + 0.25L)</t>
  </si>
  <si>
    <t>For 1000 CT, first enemy AP-consuming Basic Attack or Skill directly targeting caster redirects to another valid enemy-selected target adjacent to caster if available; otherwise original targeting remains.</t>
  </si>
  <si>
    <t>One trigger; consumed on first eligible targeting event</t>
  </si>
  <si>
    <t>Cannot redirect AOE, reactions, redirected actions, or environmental effects</t>
  </si>
  <si>
    <t>DOC-THIEF-01</t>
  </si>
  <si>
    <t>Mug</t>
  </si>
  <si>
    <t>Weapon Attack Power ×0.75 × Skill Potency Multiplier; after successful HP damage attempt deterministic Steal on same target. Steal failure does not undo damage.</t>
  </si>
  <si>
    <t>Normal legal weapon reach</t>
  </si>
  <si>
    <t>Steal availability consumed only on successful Steal</t>
  </si>
  <si>
    <t>Damage then independent Steal validation</t>
  </si>
  <si>
    <t>Target must satisfy Steal conditions at activation</t>
  </si>
  <si>
    <t>DOC-DUELIST-01</t>
  </si>
  <si>
    <t>Riposte Stance</t>
  </si>
  <si>
    <t>For 1000 CT, up to two eligible Ripostes. Each deals 85% Basic Attack Power and 50% main-hand Weapon RT Delay; no AP or action RT.</t>
  </si>
  <si>
    <t>85% Basic Attack Power</t>
  </si>
  <si>
    <t>50% per Riposte</t>
  </si>
  <si>
    <t>Legal main-hand reach</t>
  </si>
  <si>
    <t>Use main-hand attack behavior</t>
  </si>
  <si>
    <t>Self; trigger attacker must remain in legal reach</t>
  </si>
  <si>
    <t>Compatible per-hit effects</t>
  </si>
  <si>
    <t>Maximum two Ripostes</t>
  </si>
  <si>
    <t>Reaction; only AP-consuming actively targeted eligible melee attack/Skill; no passive follow-ups or reaction recursion</t>
  </si>
  <si>
    <t>Single-Weapon Mastery configuration</t>
  </si>
  <si>
    <t>DOC-TWINBLADE-01</t>
  </si>
  <si>
    <t>Crossing Blades</t>
  </si>
  <si>
    <t>Main-hand hit then off-hand hit; each deals 80% that weapon’s reduced dual-wield Basic Attack Power and resolves Defense separately.</t>
  </si>
  <si>
    <t>50% reduced Weapon RT Delay per hit</t>
  </si>
  <si>
    <t>80% reduced Basic Attack Power per weapon</t>
  </si>
  <si>
    <t>Dual-wield formula</t>
  </si>
  <si>
    <t>50% per hit</t>
  </si>
  <si>
    <t>Normal legal reach</t>
  </si>
  <si>
    <t>Per weapon compatibility</t>
  </si>
  <si>
    <t>Per-hit compatible effects</t>
  </si>
  <si>
    <t>Applies to each hit</t>
  </si>
  <si>
    <t>Two sequential hits; second does not strike defeated target</t>
  </si>
  <si>
    <t>Dual-Wield Discipline active</t>
  </si>
  <si>
    <t>DOC-TWINBLADE-02</t>
  </si>
  <si>
    <t>Feinting Flurry</t>
  </si>
  <si>
    <t>Direct Damage, Physical, Debuff</t>
  </si>
  <si>
    <t>round(Dual-Wield Basic Attack RT ×1.20)</t>
  </si>
  <si>
    <t>Four alternating hits (main/off/main/off), each 35% reduced Basic Attack Power; after any HP-damage hit, target Evasiveness -15% for 1000 CT.</t>
  </si>
  <si>
    <t>25% reduced Weapon RT Delay per hit</t>
  </si>
  <si>
    <t>35% reduced Basic Attack Power per hit</t>
  </si>
  <si>
    <t>Refresh Evasiveness debuff; does not stack</t>
  </si>
  <si>
    <t>Four sequential hits</t>
  </si>
  <si>
    <t>DOC-JUGGERNAUT-01</t>
  </si>
  <si>
    <t>Overwhelming Blow</t>
  </si>
  <si>
    <t>round(Effective Weapon WT ×2.00)</t>
  </si>
  <si>
    <t>Weapon Attack Power ×1.75 × Skill Potency Multiplier; Knockback +1 after successful HP damage.</t>
  </si>
  <si>
    <t>round(Weapon RT Delay ×1.50)</t>
  </si>
  <si>
    <t>Weapon Attack Power ×1.75</t>
  </si>
  <si>
    <t>2.00</t>
  </si>
  <si>
    <t>Heavy committed strike</t>
  </si>
  <si>
    <t>Naturally 2H melee weapon</t>
  </si>
  <si>
    <t>DOC-CONJURER-01</t>
  </si>
  <si>
    <t>Conjure Sentinel</t>
  </si>
  <si>
    <t>Summon</t>
  </si>
  <si>
    <t>round(90 + 0.35L)</t>
  </si>
  <si>
    <t>round(8 + 0.20 × (L - 1))</t>
  </si>
  <si>
    <t>Create one Sentinel: RT 400; Max HP 60% caster Max HP; STR 60% caster INT; AGI 50%; INT 25%; VIT 60%; DEX 50%; LUK 25%; Physical melee Range 1 Basic Attack; no rewards; Kill Trigger Eligibility No.</t>
  </si>
  <si>
    <t>50%</t>
  </si>
  <si>
    <t>Fixed 3 plus 50% Bonus Skill Range</t>
  </si>
  <si>
    <t>Applies only where summon formula explicitly uses it</t>
  </si>
  <si>
    <t>Until defeated/replaced</t>
  </si>
  <si>
    <t>Maximum one; successful recast replaces existing</t>
  </si>
  <si>
    <t>Summon creation</t>
  </si>
  <si>
    <t>Legal Empty Tile</t>
  </si>
  <si>
    <t>DOC-CONJURER-02</t>
  </si>
  <si>
    <t>Conjure Wisp</t>
  </si>
  <si>
    <t>round(80 + 0.30L)</t>
  </si>
  <si>
    <t>Create one Wisp: RT 400; Flying; Max HP 35%; STR 20%; AGI 75%; INT 75%; VIT 25%; DEX 60%; LUK 50% of caster; Electric Direct projectile Basic Attack Range 2–4; no rewards; Kill Trigger Eligibility No.</t>
  </si>
  <si>
    <t>Fixed 4 plus 100% Bonus Skill Range</t>
  </si>
  <si>
    <t>DOC-CONJURER-03</t>
  </si>
  <si>
    <t>Conjure Mender</t>
  </si>
  <si>
    <t>round(85 + 0.30L)</t>
  </si>
  <si>
    <t>round(9 + 0.22 × (L - 1))</t>
  </si>
  <si>
    <t>Create one Mender: RT 400; Max HP 45%; STR 20%; AGI 40%; INT 70%; VIT 50%; DEX 50%; LUK 40% of caster; Healing action Range 3, 1 AP, RT 80, no MP, heal=(10+0.20L+0.40×Mender INT)×Skill Potency; no rewards; Kill Trigger Eligibility No.</t>
  </si>
  <si>
    <t>Fixed 3 plus 100% Bonus Skill Range</t>
  </si>
  <si>
    <t>Applies to summon/heal formulas as stated</t>
  </si>
  <si>
    <t>Augment Rules  |  Source: Core Game Manual v0.9::Augment Rules</t>
  </si>
  <si>
    <t>Augment Ownership and Cost Rules</t>
  </si>
  <si>
    <t>Universal slots, compatibility ownership, costs, and acquisition boundaries.</t>
  </si>
  <si>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</si>
  <si>
    <t>Augment design principle</t>
  </si>
  <si>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</si>
  <si>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</si>
  <si>
    <t>Reduced weapon-scaling cost</t>
  </si>
  <si>
    <t>Reduce only the Skill’s positive Weapon Damage or Weapon Attack Power inheritance/scaling—not generic final damage or unrelated level, INT, VIT, healing, shielding, or nondamage effects. Such a cost is incompatible when no positive weapon-derived component exists.</t>
  </si>
  <si>
    <t>Augment cost combination</t>
  </si>
  <si>
    <t>Two percentage cost multipliers combine multiplicatively; flat additions apply afterward. Activation Time may be increased as a cost, reduced as a benefit, or modified by another authored system; Augments are not its exclusive reduction source.</t>
  </si>
  <si>
    <t>Augment acquisition</t>
  </si>
  <si>
    <t>Remaining acquisition pools, exact drop weights, compatibility content, and final numerical cost calibration remain parked. Rarity changes scarcity only and creates no stronger numerical tier.</t>
  </si>
  <si>
    <t>Parked details</t>
  </si>
  <si>
    <t>Augments  |  Source: Core Game Manual v0.9::Augments</t>
  </si>
  <si>
    <t>Authoritative Augment Catalog — v0.9</t>
  </si>
  <si>
    <t>Migrated active, parked, and rejected Augments. Requirements, limits, and recursion guards are explicit; this sheet is authoritative.</t>
  </si>
  <si>
    <t>Augment ID</t>
  </si>
  <si>
    <t>Augment Name</t>
  </si>
  <si>
    <t>Required Skill Tags</t>
  </si>
  <si>
    <t>Required Target Rules</t>
  </si>
  <si>
    <t>Required Pattern</t>
  </si>
  <si>
    <t>Other Requirements</t>
  </si>
  <si>
    <t>Effect</t>
  </si>
  <si>
    <t>Cost Type</t>
  </si>
  <si>
    <t>Cost Formula</t>
  </si>
  <si>
    <t>Delivery Frequency</t>
  </si>
  <si>
    <t>Eligible Damage Type</t>
  </si>
  <si>
    <t>Kill-Credit Dependency</t>
  </si>
  <si>
    <t>Conflicts</t>
  </si>
  <si>
    <t>Recursion Guard</t>
  </si>
  <si>
    <t>Turn / Action / Target Limit</t>
  </si>
  <si>
    <t>Scarcity</t>
  </si>
  <si>
    <t>AUG-BLEEDING-EDGE-SUPPORT</t>
  </si>
  <si>
    <t>Bleeding Edge Support</t>
  </si>
  <si>
    <t>Status Delivery</t>
  </si>
  <si>
    <t>Direct Damage</t>
  </si>
  <si>
    <t>Skill Tag: ; . Default trigger: after successful HP damage unless stated otherwise.</t>
  </si>
  <si>
    <t>Use approved Bleeding Edge behavior.</t>
  </si>
  <si>
    <t>MP</t>
  </si>
  <si>
    <t>MP Cost ×1.20</t>
  </si>
  <si>
    <t>After successful HP damage</t>
  </si>
  <si>
    <t>Once per supported resolution</t>
  </si>
  <si>
    <t>At Skill commitment; remains through resolution</t>
  </si>
  <si>
    <t>Original caster</t>
  </si>
  <si>
    <t>As compatible Skill defines</t>
  </si>
  <si>
    <t>Approved Bleed delivery/evolution safety applies.</t>
  </si>
  <si>
    <t>Secondary effects do not inherit/retrigger this Augment.</t>
  </si>
  <si>
    <t>Acquisition scarcity only; exact band pending</t>
  </si>
  <si>
    <t>Migrated from v0.8 baseline with v0.9 safety clarifications</t>
  </si>
  <si>
    <t>AUG-VENOMOUS-SUPPORT</t>
  </si>
  <si>
    <t>Venomous Support</t>
  </si>
  <si>
    <t>Use approved Venomous behavior.</t>
  </si>
  <si>
    <t>MP Cost ×1.15</t>
  </si>
  <si>
    <t>Approved Venom delivery applies.</t>
  </si>
  <si>
    <t>AUG-BLINDING-SUPPORT</t>
  </si>
  <si>
    <t>Blinding Support</t>
  </si>
  <si>
    <t>Apply Blind.</t>
  </si>
  <si>
    <t>AUG-CRIPPLING-SUPPORT</t>
  </si>
  <si>
    <t>Crippling Support</t>
  </si>
  <si>
    <t>Apply Crippled.</t>
  </si>
  <si>
    <t>Cannot support a Skill that already applies Crippled.</t>
  </si>
  <si>
    <t>AUG-SILENCING-SUPPORT</t>
  </si>
  <si>
    <t>Silencing Support</t>
  </si>
  <si>
    <t>Apply Silence.</t>
  </si>
  <si>
    <t>MP Cost ×1.25</t>
  </si>
  <si>
    <t>AUG-DISARMING-SUPPORT</t>
  </si>
  <si>
    <t>Disarming Support</t>
  </si>
  <si>
    <t>Apply Disarmed.</t>
  </si>
  <si>
    <t>Cannot support a Skill that already applies Disarmed.</t>
  </si>
  <si>
    <t>AUG-MUTING-SUPPORT</t>
  </si>
  <si>
    <t>Muting Support</t>
  </si>
  <si>
    <t>Apply Mute.</t>
  </si>
  <si>
    <t>AUG-CURSING-SUPPORT</t>
  </si>
  <si>
    <t>Cursing Support</t>
  </si>
  <si>
    <t>Apply Cursed.</t>
  </si>
  <si>
    <t>AUG-WEAKENING-SUPPORT</t>
  </si>
  <si>
    <t>Weakening Support</t>
  </si>
  <si>
    <t>Apply Weakened.</t>
  </si>
  <si>
    <t>AUG-MANA-EROSION-SUPPORT</t>
  </si>
  <si>
    <t>Mana Erosion Support</t>
  </si>
  <si>
    <t>Use approved Mana Erosion behavior.</t>
  </si>
  <si>
    <t>Per successful hit</t>
  </si>
  <si>
    <t>AUG-MANA-RUPTURE-SUPPORT</t>
  </si>
  <si>
    <t>Mana Rupture Support</t>
  </si>
  <si>
    <t>Use approved Mana Rupture behavior. Delivery: per successful hit; no once-per-target or once-per-action cap. Actual MP Removed cannot exceed Current MP; bonus damage equals Actual MP Removed.</t>
  </si>
  <si>
    <t>Per successful hit; self-limiting by Current MP.</t>
  </si>
  <si>
    <t>AUG-FIRE-CONVERSION</t>
  </si>
  <si>
    <t>Fire Conversion</t>
  </si>
  <si>
    <t>Element Conversion</t>
  </si>
  <si>
    <t>Convert 100% of supported Skill damage to Fire; remove Physical from that Skill resolution. Conversion does not automatically add an unrelated status; normal element interactions apply.</t>
  </si>
  <si>
    <t>MP Cost ×1.10</t>
  </si>
  <si>
    <t>At Skill commitment</t>
  </si>
  <si>
    <t>Conflicts with other Element Conversion Augments.</t>
  </si>
  <si>
    <t>AUG-ICE-CONVERSION</t>
  </si>
  <si>
    <t>Ice Conversion</t>
  </si>
  <si>
    <t>Convert 100% of supported Skill damage to Ice; remove Physical from that Skill resolution. Conversion does not automatically add an unrelated status; normal element interactions apply.</t>
  </si>
  <si>
    <t>AUG-ELECTRIC-CONVERSION</t>
  </si>
  <si>
    <t>Electric Conversion</t>
  </si>
  <si>
    <t>Convert 100% of supported Skill damage to Electric; remove Physical from that Skill resolution. Conversion does not automatically add an unrelated status; normal element interactions apply.</t>
  </si>
  <si>
    <t>AUG-EARTH-CONVERSION</t>
  </si>
  <si>
    <t>Earth Conversion</t>
  </si>
  <si>
    <t>Convert 100% of supported Skill damage to Earth; remove Physical from that Skill resolution. Conversion does not automatically add an unrelated status; normal element interactions apply.</t>
  </si>
  <si>
    <t>AUG-HOLY-CONVERSION</t>
  </si>
  <si>
    <t>Holy Conversion</t>
  </si>
  <si>
    <t>Convert 100% of supported Skill damage to Holy; remove Physical from that Skill resolution. Conversion does not automatically add an unrelated status; normal element interactions apply.</t>
  </si>
  <si>
    <t>AUG-DARK-CONVERSION</t>
  </si>
  <si>
    <t>Dark Conversion</t>
  </si>
  <si>
    <t>Convert 100% of supported Skill damage to Dark; remove Physical from that Skill resolution. Conversion does not automatically add an unrelated status; normal element interactions apply.</t>
  </si>
  <si>
    <t>AUG-POISON-CONVERSION</t>
  </si>
  <si>
    <t>Poison Conversion</t>
  </si>
  <si>
    <t>Convert 100% of supported Skill damage to Poison; remove Physical from that Skill resolution. Conversion does not automatically add an unrelated status; normal element interactions apply.</t>
  </si>
  <si>
    <t>AUG-LIFESTEAL</t>
  </si>
  <si>
    <t>Recovery</t>
  </si>
  <si>
    <t>Recover HP equal to 10% of actual HP damage dealt by the supported Skill.</t>
  </si>
  <si>
    <t>Weapon scaling</t>
  </si>
  <si>
    <t>Weapon Damage scaling ×0.90</t>
  </si>
  <si>
    <t>As effect states</t>
  </si>
  <si>
    <t>Cannot exceed missing HP.</t>
  </si>
  <si>
    <t>AUG-MANA-LEECH</t>
  </si>
  <si>
    <t>Mana Leech</t>
  </si>
  <si>
    <t>Recover MP equal to 10% of actual HP damage dealt by the supported Skill.</t>
  </si>
  <si>
    <t>Weapon Damage scaling ×0.85</t>
  </si>
  <si>
    <t>Cannot exceed missing MP.</t>
  </si>
  <si>
    <t>AUG-HP-CASTING</t>
  </si>
  <si>
    <t>HP Casting</t>
  </si>
  <si>
    <t>Resource Conversion</t>
  </si>
  <si>
    <t>Positive MP Cost</t>
  </si>
  <si>
    <t>Convert only ordinary authored MP Cost to HP at 2 HP per 1 MP. External additional MP costs remain MP. Cannot commit if payment reduces caster to 0 HP or below.</t>
  </si>
  <si>
    <t>2 HP per 1 MP</t>
  </si>
  <si>
    <t>Conflicts with Blood Casting.</t>
  </si>
  <si>
    <t>Commitment requires Current HP &gt; required HP payment.</t>
  </si>
  <si>
    <t>AUG-BLOOD-CASTING</t>
  </si>
  <si>
    <t>Blood Casting</t>
  </si>
  <si>
    <t>Pay ordinary MP Cost plus 3 HP per 1 ordinary authored MP; gain +10% Skill Potency for this resolution. External added MP does not increase HP payment. Cannot commit if payment reduces caster to 0 HP or below.</t>
  </si>
  <si>
    <t>3 HP per 1 MP in addition to normal MP Cost</t>
  </si>
  <si>
    <t>Conflicts with HP Casting.</t>
  </si>
  <si>
    <t>AUG-AGI-SCALING</t>
  </si>
  <si>
    <t>AGI Scaling</t>
  </si>
  <si>
    <t>Stat Scaling</t>
  </si>
  <si>
    <t>Positive Weapon Attack Power scaling</t>
  </si>
  <si>
    <t>For the supported Skill’s Weapon Attack Power calculation, use AGI instead of STR. Does not change Basic Attack, Weapon WT reduction, Force, Weapon RT Delay strength, burden, other Skills, or other STR-owned mechanics.</t>
  </si>
  <si>
    <t>Conflicts with other Stat Scaling Augments.</t>
  </si>
  <si>
    <t>AUG-INT-SCALING</t>
  </si>
  <si>
    <t>INT Scaling</t>
  </si>
  <si>
    <t>For the supported Skill’s Weapon Attack Power calculation, use INT instead of STR. Does not change Basic Attack, Weapon WT reduction, Force, Weapon RT Delay strength, burden, other Skills, or other STR-owned mechanics.</t>
  </si>
  <si>
    <t>AUG-VIT-SCALING</t>
  </si>
  <si>
    <t>VIT Scaling</t>
  </si>
  <si>
    <t>For the supported Skill’s Weapon Attack Power calculation, use VIT instead of STR. Does not change Basic Attack, Weapon WT reduction, Force, Weapon RT Delay strength, burden, other Skills, or other STR-owned mechanics.</t>
  </si>
  <si>
    <t>AUG-DEX-SCALING</t>
  </si>
  <si>
    <t>DEX Scaling</t>
  </si>
  <si>
    <t>For the supported Skill’s Weapon Attack Power calculation, use DEX instead of STR. Does not change Basic Attack, Weapon WT reduction, Force, Weapon RT Delay strength, burden, other Skills, or other STR-owned mechanics.</t>
  </si>
  <si>
    <t>AUG-LUK-SCALING</t>
  </si>
  <si>
    <t>LUK Scaling</t>
  </si>
  <si>
    <t>For the supported Skill’s Weapon Attack Power calculation, use LUK instead of STR. Does not change Basic Attack, Weapon WT reduction, Force, Weapon RT Delay strength, burden, other Skills, or other STR-owned mechanics.</t>
  </si>
  <si>
    <t>AUG-FORCEFUL-STRIKE</t>
  </si>
  <si>
    <t>Forceful Strike</t>
  </si>
  <si>
    <t>Displacement</t>
  </si>
  <si>
    <t>Knockback +1.</t>
  </si>
  <si>
    <t>AUG-PULLING-STRIKE</t>
  </si>
  <si>
    <t>Pulling Strike</t>
  </si>
  <si>
    <t>Pull 1 toward the caster.</t>
  </si>
  <si>
    <t>Conflicts with Knockback Augments.</t>
  </si>
  <si>
    <t>AUG-SWAP-STRIKE</t>
  </si>
  <si>
    <t>Swap Strike</t>
  </si>
  <si>
    <t>Authored Targeting Range 1</t>
  </si>
  <si>
    <t>After successful HP damage, swap positions with the target using normal legality, occupancy, tile-entry, and destination-validity rules.</t>
  </si>
  <si>
    <t>Weapon Damage scaling ×0.75</t>
  </si>
  <si>
    <t>AUG-EXECUTIONER</t>
  </si>
  <si>
    <t>Kill Trigger</t>
  </si>
  <si>
    <t>If the supported Skill directly defeats at least one enemy, recover 1 AP.</t>
  </si>
  <si>
    <t>On qualifying direct KO</t>
  </si>
  <si>
    <t>Once per Skill execution</t>
  </si>
  <si>
    <t>Primary Skill damage only</t>
  </si>
  <si>
    <t>Primary Skill damage directly causes enemy KO</t>
  </si>
  <si>
    <t>Once per Skill use; AP cannot exceed normal current-turn maximum.</t>
  </si>
  <si>
    <t>Max 1 AP per Skill execution; max 3 AP recovered per unit turn; no ally or player-summoned friendly KO.</t>
  </si>
  <si>
    <t>AUG-BLOOD-HARVEST</t>
  </si>
  <si>
    <t>Blood Harvest</t>
  </si>
  <si>
    <t>If the supported Skill directly defeats at least one enemy, recover 15% Max HP.</t>
  </si>
  <si>
    <t>Once per Skill use.</t>
  </si>
  <si>
    <t>Max 1 trigger per Skill execution; max 3 successful trigger rewards per unit turn; no ally or player-summoned friendly KO.</t>
  </si>
  <si>
    <t>AUG-SOUL-HARVEST</t>
  </si>
  <si>
    <t>Soul Harvest</t>
  </si>
  <si>
    <t>If the supported Skill directly defeats at least one enemy, recover 10% Max MP.</t>
  </si>
  <si>
    <t>See 07 AUGMENTS!S50 — canonical text; not duplicated here.</t>
  </si>
  <si>
    <t>AUG-PURIFYING-KILL</t>
  </si>
  <si>
    <t>Purifying Kill</t>
  </si>
  <si>
    <t>If the supported Skill directly defeats at least one enemy, remove one dispellable debuff from the caster using normal stable-priority dispel.</t>
  </si>
  <si>
    <t>AUG-PURGING-STRIKE</t>
  </si>
  <si>
    <t>Purging Strike</t>
  </si>
  <si>
    <t>After successful HP damage, remove one dispellable buff from the affected target.</t>
  </si>
  <si>
    <t>Weapon Damage scaling ×0.80</t>
  </si>
  <si>
    <t>Per qualifying target</t>
  </si>
  <si>
    <t>Once per affected target per Skill use.</t>
  </si>
  <si>
    <t>AUG-EXPLOSIVE-DEATH</t>
  </si>
  <si>
    <t>Explosive Death</t>
  </si>
  <si>
    <t>Death Explosion</t>
  </si>
  <si>
    <t>Only when supported Skill primary damage itself reduces an enemy to 0 HP: adjacent units take Fire damage equal to 25% defeated Max HP. Does not trigger from explosions, collision, falling, map objects, DoT, terrain, reactions, Mana Rupture, or passive follow-ups.</t>
  </si>
  <si>
    <t>Its explosion cannot trigger Explosive Death.</t>
  </si>
  <si>
    <t>Explosive Death damage cannot trigger Explosive Death; secondary effects excluded.</t>
  </si>
  <si>
    <t>Only primary supported Skill damage causing KO; all succeeding/secondary damage excluded.</t>
  </si>
  <si>
    <t>AUG-TREASURE-HUNTER</t>
  </si>
  <si>
    <t>Treasure Hunter</t>
  </si>
  <si>
    <t>If the supported Skill directly defeats an enemy and it successfully generates an eligible ordinary reward, apply Augment Quality Weight Multiplier ×1.25 to the selected category’s eligible nonzero quality weights before normalization.</t>
  </si>
  <si>
    <t>Does not increase occurrence, add slots, alter/unlock category or zero weights, create Unique eligibility, affect boss daily limits, or affect a target more than once.</t>
  </si>
  <si>
    <t>AUG-GOLD-HARVEST</t>
  </si>
  <si>
    <t>Gold Harvest</t>
  </si>
  <si>
    <t>If the supported Skill directly defeats an enemy eligible to generate Gold, increase that enemy’s generated Gold by 25%.</t>
  </si>
  <si>
    <t>Creates no Gold where none exists; no selling, merchant, price, recruitment, blacksmith, town, event-currency, summon, delayed-terrain, or trap effects.</t>
  </si>
  <si>
    <t>AUG-CHAIN-SUPPORT</t>
  </si>
  <si>
    <t>Chain Support</t>
  </si>
  <si>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</si>
  <si>
    <t>Conflicts with other Pattern Augments; never bypasses Skill requirements.</t>
  </si>
  <si>
    <t>Examined Candidate Set prevents repeats; max 2 successful jumps; state updates between jumps.</t>
  </si>
  <si>
    <t>AUG-LINE-PROJECTION</t>
  </si>
  <si>
    <t>Line Projection</t>
  </si>
  <si>
    <t>Unit</t>
  </si>
  <si>
    <t>Target Rules include a Unit</t>
  </si>
  <si>
    <t>Replace Pattern with Line 2. Primary 100%; tile directly behind primary along attack line 75%. Secondary occupant independently satisfies normal Target Rules and activation requirements; invalid secondary fails without affecting primary.</t>
  </si>
  <si>
    <t>Weapon Damage scaling ×0.85 when positive; MP Cost ×1.15</t>
  </si>
  <si>
    <t>Conflicts with other Pattern Augments.</t>
  </si>
  <si>
    <t>AUG-IMPACT-SPLASH</t>
  </si>
  <si>
    <t>supported Skill has a numerical effect</t>
  </si>
  <si>
    <t>Replace Pattern with Impact Splash. Primary 100%; four cardinally adjacent positions 50%. Use normal AOE, elevation, friendly fire, affected-target, and BlocksAOE rules.</t>
  </si>
  <si>
    <t>Weapon Damage scaling ×0.75 when applicable; MP Cost ×1.25</t>
  </si>
  <si>
    <t>AUG-CONCENTRATED-EFFECT</t>
  </si>
  <si>
    <t>Concentrated Effect</t>
  </si>
  <si>
    <t>Non-Single</t>
  </si>
  <si>
    <t>Pattern is not Single; supported Skill has a numerical primary effect</t>
  </si>
  <si>
    <t>Replace Pattern with Single. Only selected primary target/center tile is affected; discard secondary values, positions, jumps, splash, and other Pattern components. Primary numerical effect ×1.25.</t>
  </si>
  <si>
    <t>AUG-BURNING-GROUND</t>
  </si>
  <si>
    <t>Burning Ground</t>
  </si>
  <si>
    <t>Terrain Effect</t>
  </si>
  <si>
    <t>Tiles affected by the supported Skill gain Burning for 900 CT.</t>
  </si>
  <si>
    <t>Use normal terrain compatibility, ownership, duration, and element reactions.</t>
  </si>
  <si>
    <t>AUG-WET-GROUND</t>
  </si>
  <si>
    <t>Wet Ground</t>
  </si>
  <si>
    <t>Water;  or Ground</t>
  </si>
  <si>
    <t>Tiles affected by the supported Skill gain Wet for 1500 CT.</t>
  </si>
  <si>
    <t>AUG-FROZEN-GROUND</t>
  </si>
  <si>
    <t>Frozen Ground</t>
  </si>
  <si>
    <t>Ice;  or Ground</t>
  </si>
  <si>
    <t>Tiles affected by the supported Skill gain Frozen for 900 CT.</t>
  </si>
  <si>
    <t>AUG-POISON-CLOUD</t>
  </si>
  <si>
    <t>Poison Cloud</t>
  </si>
  <si>
    <t>Poison;  or Ground</t>
  </si>
  <si>
    <t>Tiles affected by the supported Skill gain Poison Cloud for 1500 CT.</t>
  </si>
  <si>
    <t>AUG-EROSION</t>
  </si>
  <si>
    <t>Erosion</t>
  </si>
  <si>
    <t>Elevation Mutation</t>
  </si>
  <si>
    <t>Ground</t>
  </si>
  <si>
    <t>Elevation safety rules unresolved</t>
  </si>
  <si>
    <t>Not active</t>
  </si>
  <si>
    <t>Not active; cannot recurse</t>
  </si>
  <si>
    <t>Pending</t>
  </si>
  <si>
    <t>Parked intentionally</t>
  </si>
  <si>
    <t>Bounds, occupied tiles, objectives, connectivity, objects, boundaries, and AI pathing remain parked.</t>
  </si>
  <si>
    <t>AUG-RAISE-EARTH</t>
  </si>
  <si>
    <t>Raise Earth</t>
  </si>
  <si>
    <t>REJ-FLEXIBLE-SELECTION</t>
  </si>
  <si>
    <t>Flexible Selection</t>
  </si>
  <si>
    <t>Rejected</t>
  </si>
  <si>
    <t>Requires excessive exceptions or creates farming/ownership risk</t>
  </si>
  <si>
    <t>Rejected / superseded</t>
  </si>
  <si>
    <t>Cannot activate</t>
  </si>
  <si>
    <t>Complete rejection record</t>
  </si>
  <si>
    <t>Design a new Skill instead if the concept remains desirable.</t>
  </si>
  <si>
    <t>REJ-GROUNDED-CASTING</t>
  </si>
  <si>
    <t>Grounded Casting</t>
  </si>
  <si>
    <t>REJ-PURSUING-EFFECT</t>
  </si>
  <si>
    <t>Pursuing Effect</t>
  </si>
  <si>
    <t>REJ-DELAYED-REPETITION</t>
  </si>
  <si>
    <t>Delayed Repetition</t>
  </si>
  <si>
    <t>REJ-GENERAL-TARGET-BASIS-REPLACEMENT</t>
  </si>
  <si>
    <t>General Target-Basis Replacement</t>
  </si>
  <si>
    <t>REJ-GOLD-ON-HIT</t>
  </si>
  <si>
    <t>Gold on Hit</t>
  </si>
  <si>
    <t>REJ-FORTUNE-STRIKE</t>
  </si>
  <si>
    <t>Fortune Strike</t>
  </si>
  <si>
    <t>Parked Augments  |  Source: Core Game Manual v0.9::Parked Augments</t>
  </si>
  <si>
    <t>Parked Elevation Augments</t>
  </si>
  <si>
    <t>Elevation-changing Augments retained for future design review.</t>
  </si>
  <si>
    <t>Parked elevation Augments</t>
  </si>
  <si>
    <t>Requirements</t>
  </si>
  <si>
    <t>Cost</t>
  </si>
  <si>
    <t>Future safety requirements</t>
  </si>
  <si>
    <t>Elevation mutation</t>
  </si>
  <si>
    <t>Not active.</t>
  </si>
  <si>
    <t>—</t>
  </si>
  <si>
    <t>Minimum/maximum elevation; occupied tiles; objectives; deployment; walls; bridges; objects; boundaries; connectivity; AI pathing; unreachable-area prevention.</t>
  </si>
  <si>
    <t>See 07 AUGMENTS!E79 — canonical text; not duplicated here.</t>
  </si>
  <si>
    <t>Rejected Augments  |  Source: Core Game Manual v0.9::Rejected Augments</t>
  </si>
  <si>
    <t>Rejected General Augments</t>
  </si>
  <si>
    <t>Superseded Augment patterns and rejection criteria.</t>
  </si>
  <si>
    <t>Rejected general Augments</t>
  </si>
  <si>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</si>
  <si>
    <t>Cards and Doctrines  |  Source: Core Game Manual v0.9::Cards and Doctrines</t>
  </si>
  <si>
    <t>Skill Cards, Doctrines, Races, and Tags</t>
  </si>
  <si>
    <t>Unified Skill Card architecture, Doctrine framework, Race Tags, and baseline Race roster.</t>
  </si>
  <si>
    <t>Content</t>
  </si>
  <si>
    <t>All Skill Cards</t>
  </si>
  <si>
    <t>Level-less authored active abilities. Each Skill Card explicitly declares its tags, Target Rules, costs, formulas, weapon-property inheritance, Bonus Skill Range inheritance, compatible weapon-passive interactions, Skill Potency eligibility, projectile behavior, Pattern behavior, effects, and special rules. Identical copies stack where inventory rules allow. Every Skill Card has exactly 2 Augment Slots. This applies equally to ordinary Skill Cards, Doctrine-provided Skills, Skills obtainable from loot, Steal, all Skill categories, and all rarities.</t>
  </si>
  <si>
    <t>Effective Skill Level = Main-hand Item Level. Every combat-capable unit requires a main-hand weapon and Doctrine. Authored summons or bosses may use an explicitly defined intrinsic equivalent.</t>
  </si>
  <si>
    <t>Equip/loadout rule</t>
  </si>
  <si>
    <t>Unit Level remains the equip-cost or equip-restriction basis where a restriction exists. No primary-stat requirement exists for equipment or Skill Card use. Randomly generated units must have a valid main-hand weapon, Doctrine, and compatible Skill loadout.</t>
  </si>
  <si>
    <t>Skill Card schema</t>
  </si>
  <si>
    <t>Each Skill declares Skill Name, Skill Tags, Target Rules, AP Cost, RT Cost Formula, MP Cost Formula, Channel Time, Activation Time, Power Formula, RT Delay Formula, weapon-property inheritance fields, Bonus Skill Range inheritance, eligible weapon passives, Skill Potency eligibility, AOE Resolution Type, Effects, Compatibility Requirements, Augment Slots (exactly 2 for every Skill Card),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
Every Skill Card has exactly 2 Augment Slots.</t>
  </si>
  <si>
    <t>Weapon inheritance</t>
  </si>
  <si>
    <t>No automatic inheritance of every weapon property. Possible explicit sources: Weapon Damage, Effective Weapon WT, Weapon RT Delay, Weapon Defense, Weapon Range, Weapon Pattern, Projectile Type, weapon tags/properties, and compatible weapon passives.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</si>
  <si>
    <t>Bonus Skill Range</t>
  </si>
  <si>
    <t>See 06 SKILLS!B25 — canonical text; not duplicated here.</t>
  </si>
  <si>
    <t>See 06 SKILLS!B37 — canonical text; not duplicated here.</t>
  </si>
  <si>
    <t>Augments</t>
  </si>
  <si>
    <t>Authored mechanical modifiers controlled by tags/compatibility. Acquisition and scarcity remain parked.</t>
  </si>
  <si>
    <t>Locked / acquisition parked</t>
  </si>
  <si>
    <t>Card rarity</t>
  </si>
  <si>
    <t>Doctrine identity</t>
  </si>
  <si>
    <t>Equippable item with one fixed six-primary-stat multiplier package, one Breakable Doctrine Passive, and exactly 3 fixed Doctrine Skill choices. A unit selects 1 of those 3 as its active Doctrine Skill under the current baseline loadout. Doctrine rarity does not alter the package, passive, choices, Skill mechanics, costs, timing, power, formulas, or Augment Slots.</t>
  </si>
  <si>
    <t>Doctrine Framework</t>
  </si>
  <si>
    <t>Doctrine contents</t>
  </si>
  <si>
    <t>The baseline contains exactly 15 Doctrines. Every Doctrine has one fixed six-primary-stat multiplier package totaling exactly 0%, with no individual adjustment above +15% or below -15%; one Breakable Doctrine Passive; and exactly 3 fixed Doctrine Skill choices. A unit selects 1 of the 3 as its active Doctrine Skill.</t>
  </si>
  <si>
    <t>Doctrine stat package</t>
  </si>
  <si>
    <t>Affects only STR, AGI, INT, VIT, DEX, and LUK. Uses percentage multipliers, not flat bonuses. Must total exactly 0% net adjustment. No single adjustment may exceed +15% or -15%. Does not directly modify derivatives.</t>
  </si>
  <si>
    <t>Doctrine Passive</t>
  </si>
  <si>
    <t>May grant flat derivative bonuses such as Force, Movement, Fortune, or Stability; reuse equipment effects; grant unique mechanics; or improve Skills associated with the Doctrine. Disabled by Break.</t>
  </si>
  <si>
    <t>Doctrine Skills</t>
  </si>
  <si>
    <t>Every Doctrine has exactly 3 fixed Doctrine Skill choices; the unit selects 1 as its active Doctrine Skill. Doctrine Skills remain usable while Broken and each has exactly 2 Augment Slots. If a Doctrine Skill also exists as ordinary loot, both copies use the identical mechanical profile. A Doctrine Passive may improve eligible Skills in its authored family regardless of copy source.</t>
  </si>
  <si>
    <t>Doctrine acquisition</t>
  </si>
  <si>
    <t>Doctrines use one scarcity band comparable to Epic-to-Legendary equipment acquisition frequency. Scarcity does not alter the fixed three choices, stat package, passive, Skill formulas, Skill power, costs, timing, Augment Slots, or mechanics. Exact acquisition sources, duplicate-copy handling, and drop tables remain parked.</t>
  </si>
  <si>
    <t>Doctrines  |  Source: Core Game Manual v0.9::Doctrines</t>
  </si>
  <si>
    <t>Authoritative Doctrine Catalog — v0.9</t>
  </si>
  <si>
    <t>Exactly 15 Doctrines. Each has a numeric net-zero package, one complete Breakable passive, and three valid Skill references.</t>
  </si>
  <si>
    <t>Doctrine ID</t>
  </si>
  <si>
    <t>Doctrine Name</t>
  </si>
  <si>
    <t>STR Modifier</t>
  </si>
  <si>
    <t>AGI Modifier</t>
  </si>
  <si>
    <t>INT Modifier</t>
  </si>
  <si>
    <t>VIT Modifier</t>
  </si>
  <si>
    <t>DEX Modifier</t>
  </si>
  <si>
    <t>LUK Modifier</t>
  </si>
  <si>
    <t>Stat Total</t>
  </si>
  <si>
    <t>Stat Validation</t>
  </si>
  <si>
    <t>Passive Activation</t>
  </si>
  <si>
    <t>Passive Effect</t>
  </si>
  <si>
    <t>Passive Range / Pattern</t>
  </si>
  <si>
    <t>Passive Duration</t>
  </si>
  <si>
    <t>Passive Frequency</t>
  </si>
  <si>
    <t>Passive Stacking</t>
  </si>
  <si>
    <t>Break Behavior</t>
  </si>
  <si>
    <t>Associated Skill Family</t>
  </si>
  <si>
    <t>Skill Choice 1 ID</t>
  </si>
  <si>
    <t>Skill Choice 1 Name</t>
  </si>
  <si>
    <t>Skill Choice 2 ID</t>
  </si>
  <si>
    <t>Skill Choice 2 Name</t>
  </si>
  <si>
    <t>Skill Choice 3 ID</t>
  </si>
  <si>
    <t>Skill Choice 3 Name</t>
  </si>
  <si>
    <t>Active Choice Count</t>
  </si>
  <si>
    <t>Augment Slot Rule</t>
  </si>
  <si>
    <t>DOC-VANGUARD</t>
  </si>
  <si>
    <t>Vanguard</t>
  </si>
  <si>
    <t>Frontline durability</t>
  </si>
  <si>
    <t>Bulwark</t>
  </si>
  <si>
    <t>At least one standing ally within Range 2</t>
  </si>
  <si>
    <t>Direct final damage received -10%; Stability +1</t>
  </si>
  <si>
    <t>Range 2</t>
  </si>
  <si>
    <t>Continuous while condition true</t>
  </si>
  <si>
    <t>Additional allies do not stack</t>
  </si>
  <si>
    <t>Disabled by Break; pre-existing snapshot effects persist only where explicitly stated</t>
  </si>
  <si>
    <t>Every Doctrine Skill has exactly 2 Augment Slots</t>
  </si>
  <si>
    <t>One scarcity band comparable to Epic-to-Legendary equipment</t>
  </si>
  <si>
    <t>Dedicated v0.9 authoritative record</t>
  </si>
  <si>
    <t>DOC-BERSERKER</t>
  </si>
  <si>
    <t>Berserker</t>
  </si>
  <si>
    <t>Risk and reward melee</t>
  </si>
  <si>
    <t>Blood Frenzy</t>
  </si>
  <si>
    <t>Current HP below 50% Max HP</t>
  </si>
  <si>
    <t>Final damage dealt +15%; direct final damage received +10%</t>
  </si>
  <si>
    <t>Does not stack</t>
  </si>
  <si>
    <t>DOC-ARCANIST</t>
  </si>
  <si>
    <t>Arcanist</t>
  </si>
  <si>
    <t>Resource-intensive Skill use</t>
  </si>
  <si>
    <t>Arcane Efficiency</t>
  </si>
  <si>
    <t>First Skill committed each unit turn</t>
  </si>
  <si>
    <t>Final ordinary MP Cost -25%; minimum positive ordinary cost 1; external added MP unaffected</t>
  </si>
  <si>
    <t>One Skill commitment</t>
  </si>
  <si>
    <t>Once per unit turn</t>
  </si>
  <si>
    <t>DOC-TACTICIAN</t>
  </si>
  <si>
    <t>Tactician</t>
  </si>
  <si>
    <t>Timeline and battlefield control</t>
  </si>
  <si>
    <t>Command Tempo</t>
  </si>
  <si>
    <t>Standing allies in range</t>
  </si>
  <si>
    <t>Skill RT Cost -10%; excludes Channel, Activation, Move, Basic Attack, Guard, Item, Interact</t>
  </si>
  <si>
    <t>Aura Range 3</t>
  </si>
  <si>
    <t>Continuous</t>
  </si>
  <si>
    <t>Multiple sources use strongest</t>
  </si>
  <si>
    <t>DOC-RANGER</t>
  </si>
  <si>
    <t>Ranger</t>
  </si>
  <si>
    <t>Positioning and ranged precision</t>
  </si>
  <si>
    <t>Steady Aim</t>
  </si>
  <si>
    <t>Ranger has not used Move this unit turn</t>
  </si>
  <si>
    <t>Direct attacks/Direct Damage Skills gain Hit Quality +0.15; projectile Maximum Range +1; Minimum Range unchanged</t>
  </si>
  <si>
    <t>Current unit turn</t>
  </si>
  <si>
    <t>Move removes for rest of turn</t>
  </si>
  <si>
    <t>DOC-WARLORD</t>
  </si>
  <si>
    <t>Warlord</t>
  </si>
  <si>
    <t>Offensive party support</t>
  </si>
  <si>
    <t>Commanding Presence</t>
  </si>
  <si>
    <t>Affected allies deal +10% direct final damage; Warlord requires another source to benefit</t>
  </si>
  <si>
    <t>DOC-SHADOWBINDER</t>
  </si>
  <si>
    <t>Shadowbinder</t>
  </si>
  <si>
    <t>Malignancy</t>
  </si>
  <si>
    <t>Unit applies eligible debuff</t>
  </si>
  <si>
    <t>Authored duration +20% before Debuff Resistance and boss modifiers; excludes Permanent, Unlimited, instant</t>
  </si>
  <si>
    <t>Source-owned debuff</t>
  </si>
  <si>
    <t>Per debuff application</t>
  </si>
  <si>
    <t>Per eligible application</t>
  </si>
  <si>
    <t>DOC-SPELLBLADE</t>
  </si>
  <si>
    <t>Spellblade</t>
  </si>
  <si>
    <t>Hybrid weapon and Skill use</t>
  </si>
  <si>
    <t>Arcane Edge</t>
  </si>
  <si>
    <t>Physical Direct Damage Skill with positive Weapon Attack Power scaling committed</t>
  </si>
  <si>
    <t>Skill Potency Multiplier +10% for that resolution; not Basic Attack</t>
  </si>
  <si>
    <t>Skill resolution</t>
  </si>
  <si>
    <t>Per eligible Skill</t>
  </si>
  <si>
    <t>Validated at commitment</t>
  </si>
  <si>
    <t>DOC-ASCETIC</t>
  </si>
  <si>
    <t>Ascetic</t>
  </si>
  <si>
    <t>Sustain and resource recovery</t>
  </si>
  <si>
    <t>Inner Reserve</t>
  </si>
  <si>
    <t>First completed active Skill each unit turn that spends MP</t>
  </si>
  <si>
    <t>Restore 5% Max MP after full resolution; excludes zero-MP, passive, reaction, item, external MP loss</t>
  </si>
  <si>
    <t>Unit turn</t>
  </si>
  <si>
    <t>DOC-TRICKSTER</t>
  </si>
  <si>
    <t>Trickster</t>
  </si>
  <si>
    <t>Fortune and positioning</t>
  </si>
  <si>
    <t>Fleeting Step</t>
  </si>
  <si>
    <t>First Utility Skill committed each unit turn</t>
  </si>
  <si>
    <t>Skill RT Cost -25%; Channel/Activation unchanged; minimum 0</t>
  </si>
  <si>
    <t>DOC-THIEF</t>
  </si>
  <si>
    <t>Thief</t>
  </si>
  <si>
    <t>Loot acquisition and Fortune</t>
  </si>
  <si>
    <t>Fortune Hand</t>
  </si>
  <si>
    <t>Eligible Thief Skill directly generates/determines reward opportunity</t>
  </si>
  <si>
    <t>Add 50% of Thief Unit Fortune to effective Expedition Fortune for that reward only; no slots/category unlocks</t>
  </si>
  <si>
    <t>Eligible reward</t>
  </si>
  <si>
    <t>Per eligible reward opportunity</t>
  </si>
  <si>
    <t>As Skill generates</t>
  </si>
  <si>
    <t>Does not affect unrelated KO rewards</t>
  </si>
  <si>
    <t>DOC-DUELIST</t>
  </si>
  <si>
    <t>Duelist</t>
  </si>
  <si>
    <t>Single-weapon mastery</t>
  </si>
  <si>
    <t>Single-Weapon Mastery</t>
  </si>
  <si>
    <t>Naturally legal 1H main hand; empty off-hand; no Colossal Arsenal</t>
  </si>
  <si>
    <t>Basic Attack final damage +20%; RT -15%; Hit Quality +0.15; Evasiveness +10%; delivered Weapon RT Delay +15%</t>
  </si>
  <si>
    <t>Continuous while equipment valid</t>
  </si>
  <si>
    <t>DOC-TWINBLADE</t>
  </si>
  <si>
    <t>Twinblade</t>
  </si>
  <si>
    <t>Dual-wield combat</t>
  </si>
  <si>
    <t>Dual-Wield Discipline</t>
  </si>
  <si>
    <t>Two naturally legal 1H weapons equipped</t>
  </si>
  <si>
    <t>Permits ordinary dual wield at 75% numerical properties; locked dual-wield RT, Knockback, delivery and Skill rules apply</t>
  </si>
  <si>
    <t>Equipment state</t>
  </si>
  <si>
    <t>Break inactivates off hand without unequipping</t>
  </si>
  <si>
    <t>DOC-JUGGERNAUT</t>
  </si>
  <si>
    <t>Juggernaut</t>
  </si>
  <si>
    <t>Heavy melee pressure</t>
  </si>
  <si>
    <t>Two-Handed Mastery</t>
  </si>
  <si>
    <t>Naturally legal 2H melee main-hand weapon at 100% normal use</t>
  </si>
  <si>
    <t>Basic Attack final damage +15%; Direct Damage Skill final damage +15%; delivered Weapon RT Delay +15%; excludes Colossal conversion</t>
  </si>
  <si>
    <t>DOC-CONJURER</t>
  </si>
  <si>
    <t>Conjurer</t>
  </si>
  <si>
    <t>Summoning</t>
  </si>
  <si>
    <t>Bound Host</t>
  </si>
  <si>
    <t>Summon created while passive active</t>
  </si>
  <si>
    <t>Summon Max HP +10%, final damage +10%, healing +10%; snapshot at creation</t>
  </si>
  <si>
    <t>Owned summons</t>
  </si>
  <si>
    <t>Summon lifetime</t>
  </si>
  <si>
    <t>At summon creation</t>
  </si>
  <si>
    <t>Existing summons retain snapshot after Break</t>
  </si>
  <si>
    <t>Race Tags  |  Source: Core Game Manual v0.9::Race Tags</t>
  </si>
  <si>
    <t>Race Tags</t>
  </si>
  <si>
    <t>Benefits and drawbacks attached to baseline Race Tags.</t>
  </si>
  <si>
    <t>Race Tag</t>
  </si>
  <si>
    <t>Benefits</t>
  </si>
  <si>
    <t>Drawbacks / Notes</t>
  </si>
  <si>
    <t>Dark-tagged damage heals instead of damages. Immune to Poison, Venom, Bleed, Raptured, and Wounded.</t>
  </si>
  <si>
    <t>Holy damage x2. Healing from any non-Dark source is converted into damage instead of healing.</t>
  </si>
  <si>
    <t>Mechanical</t>
  </si>
  <si>
    <t>Immune to Poison, Venom, Bleed, Raptured, Wounded, and Hunger Virus HP drain.</t>
  </si>
  <si>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</si>
  <si>
    <t>Amphibious</t>
  </si>
  <si>
    <t>Ignore Shallow Water and Deep Water movement penalties. Immune to Drowning.</t>
  </si>
  <si>
    <t>At start of turn, if not on Shallow Water, Deep Water, Ice, or Wet tile, apply Movement Range -1 until next turn. Water-terrain bonuses remain owned by terrain/tile effects.</t>
  </si>
  <si>
    <t>Flying</t>
  </si>
  <si>
    <t>Grants permanent Flight using complete Manual Flight benefits and drawbacks.</t>
  </si>
  <si>
    <t>No separate values invented.</t>
  </si>
  <si>
    <t>Giant</t>
  </si>
  <si>
    <t>Melee attacks may target enemies up to five elevation levels different. Melee Basic Attacks and compatible Skill Cards gain Knockback; if already has Knockback, gain +1 Force.</t>
  </si>
  <si>
    <t>Ranged attacks targeting the Giant ignore LoS and blockers. Race Tags should stay close to power-neutral.</t>
  </si>
  <si>
    <t>Race Roster  |  Source: Core Game Manual v0.9::Race Roster</t>
  </si>
  <si>
    <t>Baseline Race Roster</t>
  </si>
  <si>
    <t>Race tags, starting primary stats, and growth rates.</t>
  </si>
  <si>
    <t>Race</t>
  </si>
  <si>
    <t>Start STR</t>
  </si>
  <si>
    <t>Start AGI</t>
  </si>
  <si>
    <t>Start INT</t>
  </si>
  <si>
    <t>Start VIT</t>
  </si>
  <si>
    <t>Start DEX</t>
  </si>
  <si>
    <t>Start LUK</t>
  </si>
  <si>
    <t>Start Total</t>
  </si>
  <si>
    <t>Growth STR</t>
  </si>
  <si>
    <t>Growth AGI</t>
  </si>
  <si>
    <t>Growth INT</t>
  </si>
  <si>
    <t>Growth VIT</t>
  </si>
  <si>
    <t>Growth DEX</t>
  </si>
  <si>
    <t>Growth LUK</t>
  </si>
  <si>
    <t>Growth Total</t>
  </si>
  <si>
    <t>Race Passive</t>
  </si>
  <si>
    <t>Human</t>
  </si>
  <si>
    <t>Adaptability</t>
  </si>
  <si>
    <t>EXP gained +10%. Gain +1 allocable stat point every 3 levels.</t>
  </si>
  <si>
    <t>Elf</t>
  </si>
  <si>
    <t>Elven Focus</t>
  </si>
  <si>
    <t>Skill MP Cost -20%. Jump +1.</t>
  </si>
  <si>
    <t>Dwarf</t>
  </si>
  <si>
    <t>Stout Resilience</t>
  </si>
  <si>
    <t>Direct Physical damage received -10%. Movement Range -1.</t>
  </si>
  <si>
    <t>Orc</t>
  </si>
  <si>
    <t>Bloodlust</t>
  </si>
  <si>
    <t>While below 50% HP, final damage +15%. INT -15%.</t>
  </si>
  <si>
    <t>Goblin</t>
  </si>
  <si>
    <t>Cunning</t>
  </si>
  <si>
    <t>Basic Attacks apply Poison. Damage received from traps and hazards +10%.</t>
  </si>
  <si>
    <t>Mermaid</t>
  </si>
  <si>
    <t>Tidecaller</t>
  </si>
  <si>
    <t>Range +1 while occupying Water, Wet, or Ice. All primary stats -10% while not occupying Water, Wet, or Ice.</t>
  </si>
  <si>
    <t>Fairy</t>
  </si>
  <si>
    <t>Fae Grace</t>
  </si>
  <si>
    <t>AOE damage received -25%. STR -15%.</t>
  </si>
  <si>
    <t>Zombie</t>
  </si>
  <si>
    <t>Undying</t>
  </si>
  <si>
    <t>Revive three turns after KO with 50% HP. Movement Range -1.</t>
  </si>
  <si>
    <t>Golem</t>
  </si>
  <si>
    <t>Fortified Frame</t>
  </si>
  <si>
    <t>Guard mitigation +20%. Movement Range -1.</t>
  </si>
  <si>
    <t>Shadow</t>
  </si>
  <si>
    <t>Umbral Veil</t>
  </si>
  <si>
    <t>After receiving direct damage, gain Hide for one turn. Elemental damage received +10%.</t>
  </si>
  <si>
    <t>Vampire</t>
  </si>
  <si>
    <t>Vampirism</t>
  </si>
  <si>
    <t>Heal for 15% of direct damage dealt, reduced to 5% for AOE damage. During day, all primary stats -25%. During night, all primary stats +25%.</t>
  </si>
  <si>
    <t>Android</t>
  </si>
  <si>
    <t>Extending Arms</t>
  </si>
  <si>
    <t>Push Range +3. Push becomes Pull. Push cannot target adjacent units.</t>
  </si>
  <si>
    <t>Lich</t>
  </si>
  <si>
    <t>Arcane Corruption</t>
  </si>
  <si>
    <t>Elemental Skill interactions remain authored as Fire to Burn, Water to Frozen, Earth to Petrify, and Dark to Poison. Light damage received +50%. Do not add unapproved elements or statuses.</t>
  </si>
  <si>
    <t>Elemental Spirit</t>
  </si>
  <si>
    <t>Elemental Flux</t>
  </si>
  <si>
    <t>Elemental damage dealt +30%. Elemental damage received +30%.</t>
  </si>
  <si>
    <t>Titan</t>
  </si>
  <si>
    <t>Titan may equip normally 2H melee weapon as 1H main-hand with off-hand slot. See Colossal Arsenal rules below.</t>
  </si>
  <si>
    <t>Race Rules  |  Source: Core Game Manual v0.9::Race Rules</t>
  </si>
  <si>
    <t>Race Framework Rules</t>
  </si>
  <si>
    <t>Race architecture, starting-stat totals, and growth-rate requirements.</t>
  </si>
  <si>
    <t>Race Framework</t>
  </si>
  <si>
    <t>Race architecture</t>
  </si>
  <si>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</si>
  <si>
    <t>Starting primary stats</t>
  </si>
  <si>
    <t>STR, AGI, INT, VIT, DEX, and LUK total exactly 8. No starting stat may be decimal. No starting stat may exceed 3.</t>
  </si>
  <si>
    <t>Growth rates</t>
  </si>
  <si>
    <t>Total growth equals exactly 2.00 per level. Growth rates may use decimals. Every primary stat has at least 0.10 growth and no primary-stat growth exceeds 1.00.</t>
  </si>
  <si>
    <t>LUK Fortune Discovery  |  Source: Core Game Manual v0.9::LUK Fortune Discovery</t>
  </si>
  <si>
    <t>LUK, Fortune, Initiative, and Discovery</t>
  </si>
  <si>
    <t>Complete locked LUK identity.</t>
  </si>
  <si>
    <t>System</t>
  </si>
  <si>
    <t>Scope / Notes</t>
  </si>
  <si>
    <t>Combat Fortune</t>
  </si>
  <si>
    <t>Delta LUK = Attacker LUK - Defender LUK
Modifier = 0.40 x Delta LUK / (abs(Delta LUK) + 150)
Multiplier = 1 + Modifier</t>
  </si>
  <si>
    <t>At +/-150 difference, direct final damage changes by +/-20%. Asymptotic limits are +/-40%. Applies before Guard and final mitigation.</t>
  </si>
  <si>
    <t>Initiative</t>
  </si>
  <si>
    <t>Starting RT = round(Base RT x (1 - 0.30 x LUK / (100 + LUK)))</t>
  </si>
  <si>
    <t>Calculated once at initial deployment. Does not alter later Base RT or action RT.</t>
  </si>
  <si>
    <t>Discovery Radius</t>
  </si>
  <si>
    <t>1 + floor(LUK / 60) + Bonuses - Penalties; minimum 1</t>
  </si>
  <si>
    <t>Square radius. Ignores LoS, elevation, walls, blockers, facing, and projectile rules.</t>
  </si>
  <si>
    <t>Discovery triggers</t>
  </si>
  <si>
    <t>Initial deployment; beginning of a ready turn; after Move, Push, Pull, Knockback, collision, teleport, blink, or swap finishes.</t>
  </si>
  <si>
    <t>Checks final occupied tile only. Both swapped units trigger.</t>
  </si>
  <si>
    <t>Discovery targets</t>
  </si>
  <si>
    <t>Hidden units, traps, treasure, hazards, switches, and eligible concealed objects.</t>
  </si>
  <si>
    <t>Reveals to the allied team. Static objects stay revealed.</t>
  </si>
  <si>
    <t>Undiscoverable</t>
  </si>
  <si>
    <t>Hidden + Undiscoverable ignores normal Discovery.</t>
  </si>
  <si>
    <t>Must define another reveal condition.</t>
  </si>
  <si>
    <t>Tie-breaker</t>
  </si>
  <si>
    <t>After system priorities, higher LUK wins; if equal, use stable tie order.</t>
  </si>
  <si>
    <t>Ready order: higher Level, higher AGI, lower HP%, higher LUK, stable order.</t>
  </si>
  <si>
    <t>Unit Fortune</t>
  </si>
  <si>
    <t>LUK / (LUK + 200)</t>
  </si>
  <si>
    <t>Normalized reward contribution.</t>
  </si>
  <si>
    <t>Expedition Fortune</t>
  </si>
  <si>
    <t>Highest deployed Unit Fortune + 50% of second-highest + 25% of third-highest</t>
  </si>
  <si>
    <t>Applies to all expedition-generated rewards: ordinary enemy drops, chests, hidden treasure, harvesting, battlefield Interact rewards, objective rewards, battle-completion rewards, and expedition-completion rewards. No killer/opener substitution and no town snapshot.</t>
  </si>
  <si>
    <t>Normalized Expedition Fortune</t>
  </si>
  <si>
    <t>Expedition Fortune / 1.75</t>
  </si>
  <si>
    <t>Theoretical maximum enables Fortune Multiplier 2.00x.</t>
  </si>
  <si>
    <t>Fortune Multiplier</t>
  </si>
  <si>
    <t>1 + Normalized Expedition Fortune</t>
  </si>
  <si>
    <t>Multiplicative; base chance zero remains zero. Cannot unlock ineligible rarity, add reward slots, alter category weights, convert categories, increase elite appearances, or bypass boss daily reward limits.</t>
  </si>
  <si>
    <t>Normal enemy drop</t>
  </si>
  <si>
    <t>Final Normal Drop Chance = min(95%, 5% x Fortune Multiplier)</t>
  </si>
  <si>
    <t>Base Drop Chance = 5% per enemy.</t>
  </si>
  <si>
    <t>Elite reward opportunity</t>
  </si>
  <si>
    <t>Final Elite Reward Chance = min(95%, 75% x Fortune Multiplier)</t>
  </si>
  <si>
    <t>Elite encounters are rare random encounter events. Fortune does not affect elite encounter appearance; it affects only reward occurrence and quality after a completed elite encounter.</t>
  </si>
  <si>
    <t>Boss reward limit</t>
  </si>
  <si>
    <t>One guaranteed Rare-or-better equipment reward for each rewarded boss completion. Default boss reward limit = first 3 rewarded boss completions per day.</t>
  </si>
  <si>
    <t>Replay may continue after the daily reward limit, but additional completions do not produce another Mythic-eligible guaranteed boss equipment reward.</t>
  </si>
  <si>
    <t>Fortune quality weighting</t>
  </si>
  <si>
    <t>Adjusted Rarity Weight = Base Rarity Weight x (1 + Normalized Expedition Fortune x Rarity Sensitivity). Final Rarity Probability = Adjusted / Sum eligible adjusted weights.</t>
  </si>
  <si>
    <t>Zero base weight remains zero. Mythic remains impossible in normal encounters. Transcendent requires explicit event. Unique is not procedurally rolled.</t>
  </si>
  <si>
    <t>Fortune Gold Multiplier</t>
  </si>
  <si>
    <t>1 + 0.50 x Normalized Expedition Fortune; Final Gold = round(Base Gold x Fortune Gold Multiplier)</t>
  </si>
  <si>
    <t>Maximum theoretical multiplier 1.50x. Applies to expedition-generated Gold only, not selling, merchant prices, recruitment, blacksmith costs, existing Gold, town rewards, or event currencies unless explicit.</t>
  </si>
  <si>
    <t>Steal rewards</t>
  </si>
  <si>
    <t>Successful Steal generates one reward opportunity from the target’s Steal reward pool. Expedition Fortune does not change reward category; it modifies eligible reward quality using normal category-specific quality rules. Personal LUK does not replace Expedition Fortune.</t>
  </si>
  <si>
    <t>Steal reward-pool content remains parked.</t>
  </si>
  <si>
    <t>Locked / Pool parked</t>
  </si>
  <si>
    <t>Activities and Loot  |  Source: Core Game Manual v0.9::Activities and Loot</t>
  </si>
  <si>
    <t>Activities, Loot, and Fortune</t>
  </si>
  <si>
    <t>Dispatch, Explore, Quests, enemy drops, and reward boundaries.</t>
  </si>
  <si>
    <t>Status / Notes</t>
  </si>
  <si>
    <t>Activities</t>
  </si>
  <si>
    <t>Dispatch, Explore, and Quests.</t>
  </si>
  <si>
    <t>Quest types</t>
  </si>
  <si>
    <t>Bring-me, normal battle, arena against AI guilds, boss battle, protect, survive waves, defeat X enemies, and future objective types.</t>
  </si>
  <si>
    <t>Current examples</t>
  </si>
  <si>
    <t>Predetermined rewards</t>
  </si>
  <si>
    <t>Dispatch and Quest rewards are shown before acceptance.</t>
  </si>
  <si>
    <t>Reward category</t>
  </si>
  <si>
    <t>Fortune does not convert categories, alter reward-category weights, add reward slots, or treat equipment as inherently better than cards, doctrines, furniture, or consumables.</t>
  </si>
  <si>
    <t>Ordinary enemy loot</t>
  </si>
  <si>
    <t>Base Drop Chance = 5% per enemy. Final Normal Drop Chance = min(95%, 5% x Fortune Multiplier).</t>
  </si>
  <si>
    <t>Boss loot</t>
  </si>
  <si>
    <t>One guaranteed Rare-or-better equipment reward for each rewarded boss completion. Default boss reward limit: first 3 rewarded boss completions per day.</t>
  </si>
  <si>
    <t>Fortune and drop occurrence</t>
  </si>
  <si>
    <t>Elite encounters are rare random encounter events, not routine normal encounters. Each completed elite encounter provides one elite reward opportunity. Base Elite Reward Chance = 75%; Final Elite Reward Chance = min(95%, 75% x Fortune Multiplier).</t>
  </si>
  <si>
    <t>Locked; exact elite appearance rate pending</t>
  </si>
  <si>
    <t>Fortune and quality</t>
  </si>
  <si>
    <t>Fortune improves eligible source-specific quality weights after category is fixed. Fortune does not modify category weights. Category-specific Fortune quality remains parked for Skill Cards, Augments, Doctrines, and Consumables.</t>
  </si>
  <si>
    <t>Gold</t>
  </si>
  <si>
    <t>Fortune Gold Multiplier = 1 + 0.50 x Normalized Expedition Fortune. Final Gold = round(Base Gold x Fortune Gold Multiplier). Maximum theoretical multiplier 1.50x.</t>
  </si>
  <si>
    <t>Skill/Augment rewards</t>
  </si>
  <si>
    <t>Fortune may improve weighting toward scarcer eligible authored cards.</t>
  </si>
  <si>
    <t>Doctrine rewards</t>
  </si>
  <si>
    <t>Doctrines are equippable. Duplicates remain valid. Completing the collection does not promote later drops.</t>
  </si>
  <si>
    <t>Consumables</t>
  </si>
  <si>
    <t>May permanently increase stats, grant experience, manipulate terrain, restore resources, or provide other tactical effects.</t>
  </si>
  <si>
    <t>Locked content boundary</t>
  </si>
  <si>
    <t>Expedition reward scope</t>
  </si>
  <si>
    <t>All rewards generated during an expedition use that expedition team’s Fortune, including drops, chests, hidden treasure, harvesting, battlefield Interact rewards, objectives, battle completion, and expedition completion.</t>
  </si>
  <si>
    <t>No town snapshot</t>
  </si>
  <si>
    <t>Expedition Fortune does not persist to merchants, recruitment, or blacksmithing.</t>
  </si>
  <si>
    <t>Town services</t>
  </si>
  <si>
    <t>Use Guild Level, facility/service progression, region, unlocks, recipes, and materials, not LUK.</t>
  </si>
  <si>
    <t>Reward Sequence  |  Source: Core Game Manual v0.9::Reward Sequence</t>
  </si>
  <si>
    <t>Reward Generation Sequence</t>
  </si>
  <si>
    <t>Ordered reward-opportunity and quality-selection rules.</t>
  </si>
  <si>
    <t>Reward sequence</t>
  </si>
  <si>
    <t>Determine reward opportunity.</t>
  </si>
  <si>
    <t>Apply the source-owned drop chance and Fortune multiplier.</t>
  </si>
  <si>
    <t>If successful, select reward category from the source category table. Fortune does not modify category weights.</t>
  </si>
  <si>
    <t>Load the selected category source-specific quality table.</t>
  </si>
  <si>
    <t>Apply Fortune to eligible quality weights.</t>
  </si>
  <si>
    <t>Generate the category-appropriate reward.</t>
  </si>
  <si>
    <t>Category meaning</t>
  </si>
  <si>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</si>
  <si>
    <t>Locked / Some parked</t>
  </si>
  <si>
    <t>Equipment rarity source ceilings</t>
  </si>
  <si>
    <t>Normal encounter: Legendary max; Elite encounter: Mythic max; Daily-limited boss reward: Mythic max; Eligible special event: may permit Transcendent; Authored special source: may award Unique.</t>
  </si>
  <si>
    <t>Rarity vs Item Level</t>
  </si>
  <si>
    <t>Legendary may drop from any normal encounter at very low chance, but Item Level is restricted by Map Level. Guild Level does not directly determine an individual drop rarity.</t>
  </si>
  <si>
    <t>Mythic / Transcendent / Unique</t>
  </si>
  <si>
    <t>Mythic cannot drop from normal encounters. Transcendent is special-event-exclusive unless explicit authored source says otherwise. Unique is authored and source-specific.</t>
  </si>
  <si>
    <t>Loot Rarity Weights  |  Source: Core Game Manual v0.9::Loot Rarity Weights</t>
  </si>
  <si>
    <t>Loot Rarity Weights</t>
  </si>
  <si>
    <t>Base rarity probabilities for normal, elite, and guaranteed boss rewards.</t>
  </si>
  <si>
    <t>Normal Encounter</t>
  </si>
  <si>
    <t>Elite Encounter</t>
  </si>
  <si>
    <t>Boss Guaranteed</t>
  </si>
  <si>
    <t>Total</t>
  </si>
  <si>
    <t>Fortune Sensitivity  |  Source: Core Game Manual v0.9::Fortune Sensitivity</t>
  </si>
  <si>
    <t>Fortune Rarity Sensitivity</t>
  </si>
  <si>
    <t>How Expedition Fortune adjusts eligible rarity weights.</t>
  </si>
  <si>
    <t>Sensitivity</t>
  </si>
  <si>
    <t>Adjusted Weight = Base Weight x (1 + Normalized Expedition Fortune x Sensitivity)</t>
  </si>
  <si>
    <t>Final Probability = Adjusted / Sum eligible adjusted weights</t>
  </si>
  <si>
    <t>Normalize adjusted weights back to 100%.</t>
  </si>
  <si>
    <t>Zero base weight remains zero.</t>
  </si>
  <si>
    <t>Mythic remains impossible in normal encounters.</t>
  </si>
  <si>
    <t>Transcendent remains impossible unless event-enabled.</t>
  </si>
  <si>
    <t>Unique never participates in ordinary procedural rarity rolls.</t>
  </si>
  <si>
    <t>Event-defined</t>
  </si>
  <si>
    <t>Not procedurally rolled</t>
  </si>
  <si>
    <t>Gold Fortune  |  Source: Core Game Manual v0.9::Gold Fortune</t>
  </si>
  <si>
    <t>Gold Fortune Scope</t>
  </si>
  <si>
    <t>Reward sources affected and unaffected by the Gold Fortune multiplier.</t>
  </si>
  <si>
    <t>Gold Fortune applies to</t>
  </si>
  <si>
    <t>Enemy Gold drops; chests; hidden treasure; battlefield Interact rewards; objectives; battle-completion rewards; expedition-completion rewards.</t>
  </si>
  <si>
    <t>Gold Fortune does not apply to</t>
  </si>
  <si>
    <t>Selling items; merchant prices; recruitment; blacksmith costs; existing Gold; town rewards; event currencies unless explicitly permitted.</t>
  </si>
  <si>
    <t>Elite Loot Rules  |  Source: Core Game Manual v0.9::Elite Loot Rules</t>
  </si>
  <si>
    <t>Elite Encounter Loot Rules</t>
  </si>
  <si>
    <t>Elite appearance, reward occurrence, quality, and Steal independence.</t>
  </si>
  <si>
    <t>Elite encounter appearance</t>
  </si>
  <si>
    <t>Elite encounters are rare random encounter events and do not appear as routine normal encounters. Exact appearance rate remains pending unless defined elsewhere. Expedition Fortune does not increase elite encounter appearance chance.</t>
  </si>
  <si>
    <t>Locked / Appearance pending</t>
  </si>
  <si>
    <t>Elite reward occurrence</t>
  </si>
  <si>
    <t>Fortune affects only the eligible reward opportunity after the elite encounter is completed. Each completed elite encounter provides one elite reward opportunity. Base Elite Reward Chance = 75%; Final Elite Reward Chance = min(95%, 75% x Fortune Multiplier).</t>
  </si>
  <si>
    <t>Elite reward quality</t>
  </si>
  <si>
    <t>Elite equipment rewards use the approved Elite encounter rarity table. Elite equipment may reach Mythic at extremely low probability. Transcendent and Unique remain ineligible unless an explicit special-event or authored source overrides the normal table.</t>
  </si>
  <si>
    <t>Steal reward independence</t>
  </si>
  <si>
    <t>A Steal reward is separate from the target’s possible KO reward. Stealing does not consume, replace, predetermine, or reduce the target’s later KO reward. Exact Steal reward-pool content remains parked.</t>
  </si>
  <si>
    <t>Guild Progression  |  Source: Core Game Manual v0.9::Guild Progression</t>
  </si>
  <si>
    <t>Guild Level and Town Progression</t>
  </si>
  <si>
    <t>Account progression while story structure remains undefined.</t>
  </si>
  <si>
    <t>Guild XP</t>
  </si>
  <si>
    <t>Earned after completed battles and completed quests; optional objectives may add bounded XP; not per enemy kill.</t>
  </si>
  <si>
    <t>Guild Level</t>
  </si>
  <si>
    <t>Account-wide progression for quest tiers, expedition access, merchants, recruitment, blacksmithing, facilities, and content breadth.</t>
  </si>
  <si>
    <t>Exclusions</t>
  </si>
  <si>
    <t>Does not directly increase unit combat stats or loot rarity and does not replace Expedition Fortune.</t>
  </si>
  <si>
    <t>Merchants</t>
  </si>
  <si>
    <t>Guild/service progression, region, unlocks, and refresh rules; no LUK.</t>
  </si>
  <si>
    <t>Recruitment</t>
  </si>
  <si>
    <t>Guild/recruiter progression, region, unlocks, and generation rules; no LUK.</t>
  </si>
  <si>
    <t>Blacksmith</t>
  </si>
  <si>
    <t>Facility level, recipes, materials, Item Level, rarity bonus budget, and compatibility. No LUK success chance.</t>
  </si>
  <si>
    <t>Low-level farming</t>
  </si>
  <si>
    <t>Trivial content should provide sharply reduced Guild XP; exact relevance bands pending.</t>
  </si>
  <si>
    <t>Trigger Recursion  |  Source: Core Game Manual v0.9::Trigger Recursion</t>
  </si>
  <si>
    <t>Universal Trigger &amp; Recursion Framework — v0.9</t>
  </si>
  <si>
    <t>Engine-level safety contract for flexible customization. Every repeated process has a finite termination rule.</t>
  </si>
  <si>
    <t>Rule ID</t>
  </si>
  <si>
    <t>Rule Name</t>
  </si>
  <si>
    <t>Triggering Event</t>
  </si>
  <si>
    <t>Resolution Order</t>
  </si>
  <si>
    <t>Frequency Limit</t>
  </si>
  <si>
    <t>Ownership</t>
  </si>
  <si>
    <t>Kill Credit</t>
  </si>
  <si>
    <t>State Update Timing</t>
  </si>
  <si>
    <t>Failure Behavior</t>
  </si>
  <si>
    <t>TRG-001</t>
  </si>
  <si>
    <t>Chain Examined-Candidate Set</t>
  </si>
  <si>
    <t>Each Chain jump candidate search</t>
  </si>
  <si>
    <t>Candidate within Chain range/elevation and not examined/affected</t>
  </si>
  <si>
    <t>Examine candidate; add to Examined Set whether valid or invalid; valid resolution adds to Already Affected Set</t>
  </si>
  <si>
    <t>Per jump; finite candidates</t>
  </si>
  <si>
    <t>Examined candidates cannot be rechecked; Chain ends at max successful jumps or empty unexamined set</t>
  </si>
  <si>
    <t>As supported Skill defines</t>
  </si>
  <si>
    <t>During current jump</t>
  </si>
  <si>
    <t>Invalid candidate skipped; search continues</t>
  </si>
  <si>
    <t>Prevents invalid-target search loops.</t>
  </si>
  <si>
    <t>TRG-002</t>
  </si>
  <si>
    <t>Chain State Update</t>
  </si>
  <si>
    <t>After each successful Chain jump</t>
  </si>
  <si>
    <t>Supported Skill successfully resolves</t>
  </si>
  <si>
    <t>Primary value → shield/HP → on-hit → KO → displacement → immediate triggers → battlefield update → next search</t>
  </si>
  <si>
    <t>One update per successful jump</t>
  </si>
  <si>
    <t>Do not pre-lock complete route</t>
  </si>
  <si>
    <t>Before next candidate search</t>
  </si>
  <si>
    <t>If no candidate remains, Chain ends</t>
  </si>
  <si>
    <t>Candidate state reflects defeats, movement, allegiance, and occupancy changes.</t>
  </si>
  <si>
    <t>TRG-003</t>
  </si>
  <si>
    <t>Augment Commitment Snapshot</t>
  </si>
  <si>
    <t>Skill commitment</t>
  </si>
  <si>
    <t>Augment enabled at commitment</t>
  </si>
  <si>
    <t>Snapshot attached/enabled Augments with committed Skill profile</t>
  </si>
  <si>
    <t>Once per Skill commitment</t>
  </si>
  <si>
    <t>Mute after commitment cannot remove Augments from that resolution</t>
  </si>
  <si>
    <t>As committed Skill defines</t>
  </si>
  <si>
    <t>At commitment</t>
  </si>
  <si>
    <t>Mute at commitment uses unaugmented profile</t>
  </si>
  <si>
    <t>Prevents mid-resolution cost, Pattern, and element mutation.</t>
  </si>
  <si>
    <t>TRG-004</t>
  </si>
  <si>
    <t>Reaction Qualification</t>
  </si>
  <si>
    <t>Enemy AP-consuming Basic Attack or Skill directly and actively targets reacting unit</t>
  </si>
  <si>
    <t>Specific range and reaction requirements also pass</t>
  </si>
  <si>
    <t>Resolve original targeting event; then eligible reaction under authored timing</t>
  </si>
  <si>
    <t>Per authored reaction limit</t>
  </si>
  <si>
    <t>Passive follow-ups, reactions, AOE, DoT, status, terrain, hazard, collision, fall, map-object damage do not independently provoke reactions</t>
  </si>
  <si>
    <t>Reactor</t>
  </si>
  <si>
    <t>Reactor for reaction damage</t>
  </si>
  <si>
    <t>After qualifying targeted event stage</t>
  </si>
  <si>
    <t>Nonqualifying event produces no reaction</t>
  </si>
  <si>
    <t>Three passive follow-up attacks from one action do not create three counter-reactions.</t>
  </si>
  <si>
    <t>TRG-005</t>
  </si>
  <si>
    <t>Reaction Recursion Guard</t>
  </si>
  <si>
    <t>Event marked Reaction</t>
  </si>
  <si>
    <t>Explicit exception required to react to a reaction</t>
  </si>
  <si>
    <t>Resolve ordinary Defense/shield/HP/on-hit effects only</t>
  </si>
  <si>
    <t>No reaction-to-reaction by default</t>
  </si>
  <si>
    <t>Reaction cannot trigger another reaction, retaliation, or counter</t>
  </si>
  <si>
    <t>Within current event queue</t>
  </si>
  <si>
    <t>Further reaction trigger ignored</t>
  </si>
  <si>
    <t>Ordinary compatible on-hit effects may still resolve but do not become a new AP-consuming action.</t>
  </si>
  <si>
    <t>TRG-006</t>
  </si>
  <si>
    <t>Executioner Limit</t>
  </si>
  <si>
    <t>Supported Skill primary damage directly KOs enemy</t>
  </si>
  <si>
    <t>Enemy; not ally or player-summoned friendly unit</t>
  </si>
  <si>
    <t>After Skill execution and qualifying KO</t>
  </si>
  <si>
    <t>Max 1 AP per Skill execution; max 3 AP recovered per unit turn</t>
  </si>
  <si>
    <t>Secondary damage and triggered effects do not qualify</t>
  </si>
  <si>
    <t>After complete supported Skill execution</t>
  </si>
  <si>
    <t>Beyond cap: no AP recovered</t>
  </si>
  <si>
    <t>Kill count above 1 does not increase AP from one execution.</t>
  </si>
  <si>
    <t>TRG-007</t>
  </si>
  <si>
    <t>Other Kill-Trigger Limit</t>
  </si>
  <si>
    <t>After complete Skill execution</t>
  </si>
  <si>
    <t>Max 1 trigger per Skill execution; max 3 successful trigger rewards per unit turn per effect</t>
  </si>
  <si>
    <t>Secondary damage does not qualify</t>
  </si>
  <si>
    <t>After qualifying Skill execution</t>
  </si>
  <si>
    <t>Beyond cap: trigger suppressed</t>
  </si>
  <si>
    <t>Applies to Blood Harvest, Soul Harvest, Purifying Kill, and reward kill triggers unless explicitly overridden.</t>
  </si>
  <si>
    <t>TRG-008</t>
  </si>
  <si>
    <t>Explosive Death Eligibility</t>
  </si>
  <si>
    <t>Supported Skill primary damage directly reduces target to 0 HP and causes KO</t>
  </si>
  <si>
    <t>Enemy target; primary authored Skill Power only</t>
  </si>
  <si>
    <t>KO → queue Explosive Death explosion</t>
  </si>
  <si>
    <t>Once per qualifying enemy KO</t>
  </si>
  <si>
    <t>Cannot trigger from explosion, collision, fall, bomb/map object, DoT, terrain, reaction, Mana Rupture, passive follow-up, or another succeeding effect; explosion cannot retrigger it</t>
  </si>
  <si>
    <t>Original caster where authored</t>
  </si>
  <si>
    <t>After primary KO confirmation</t>
  </si>
  <si>
    <t>Non-primary KO does not create explosion</t>
  </si>
  <si>
    <t>Strict primary-Skill-damage-only qualification.</t>
  </si>
  <si>
    <t>TRG-009</t>
  </si>
  <si>
    <t>Primary vs Secondary Effects</t>
  </si>
  <si>
    <t>Any authored effect resolution</t>
  </si>
  <si>
    <t>Classify before eligibility checks</t>
  </si>
  <si>
    <t>Primary Skill formula first; all generated/succeeding effects classified secondary unless explicit</t>
  </si>
  <si>
    <t>Per effect instance</t>
  </si>
  <si>
    <t>Secondary effects do not inherit originating Skill Augments and cannot retrigger themselves</t>
  </si>
  <si>
    <t>Original source retained</t>
  </si>
  <si>
    <t>Authored per effect</t>
  </si>
  <si>
    <t>At effect creation</t>
  </si>
  <si>
    <t>Unclassified generated effect defaults to secondary</t>
  </si>
  <si>
    <t>Clarifies Augment and kill-trigger boundaries.</t>
  </si>
  <si>
    <t>TRG-010</t>
  </si>
  <si>
    <t>Generated-Effect Recursion</t>
  </si>
  <si>
    <t>Triggered effect creates additional effect</t>
  </si>
  <si>
    <t>New effect instance is eligible only under its own card/rule</t>
  </si>
  <si>
    <t>Queue generated effect after current stage</t>
  </si>
  <si>
    <t>Once per effect instance unless explicit</t>
  </si>
  <si>
    <t>Lifesteal cannot trigger Lifesteal; Mana Leech cannot trigger itself; harvests cannot self-trigger; Mana Rupture bonus cannot retrigger Mana Rupture</t>
  </si>
  <si>
    <t>Original source</t>
  </si>
  <si>
    <t>After current event stage</t>
  </si>
  <si>
    <t>Self-retrigger ignored</t>
  </si>
  <si>
    <t>General same-instance recursion guard.</t>
  </si>
  <si>
    <t>TRG-011</t>
  </si>
  <si>
    <t>Explosion Event Queue</t>
  </si>
  <si>
    <t>Explosion creates other explosions</t>
  </si>
  <si>
    <t>Finite unconsumed sources only</t>
  </si>
  <si>
    <t>Append new explosion event to queue; finish current event; process queue in stable order</t>
  </si>
  <si>
    <t>Each consumed source at most once unless explicitly multi-use</t>
  </si>
  <si>
    <t>No recursive call-stack resolution; consumed source cannot retrigger</t>
  </si>
  <si>
    <t>Explosion source owner</t>
  </si>
  <si>
    <t>Queue boundary</t>
  </si>
  <si>
    <t>Already-consumed source ignored</t>
  </si>
  <si>
    <t>Supports bomb barrels, mines, oil, clouds, and chained explosions safely.</t>
  </si>
  <si>
    <t>TRG-012</t>
  </si>
  <si>
    <t>Periodic Propagation Guard</t>
  </si>
  <si>
    <t>Burning or other effect propagates at interval</t>
  </si>
  <si>
    <t>Eligible source/tile not already processed in this interval</t>
  </si>
  <si>
    <t>Process each eligible source once; newly created effect waits for next interval</t>
  </si>
  <si>
    <t>Once per source/tile per interval</t>
  </si>
  <si>
    <t>New effect cannot participate in same propagation event</t>
  </si>
  <si>
    <t>Original effect owner</t>
  </si>
  <si>
    <t>Next scheduled interval</t>
  </si>
  <si>
    <t>Duplicate processing ignored</t>
  </si>
  <si>
    <t>Prevents same-timestamp terrain spread recursion.</t>
  </si>
  <si>
    <t>TRG-013</t>
  </si>
  <si>
    <t>Elemental One-Pass Processing</t>
  </si>
  <si>
    <t>Incoming element/tag packet</t>
  </si>
  <si>
    <t>Valid object/effect/terrain interaction</t>
  </si>
  <si>
    <t>Object → existing Effect → Terrain → compatibility → secondary effects</t>
  </si>
  <si>
    <t>One pass per incoming packet</t>
  </si>
  <si>
    <t>Later-stage transformation does not return same packet to earlier stage; explicit secondary packet is newly queued</t>
  </si>
  <si>
    <t>Packet source</t>
  </si>
  <si>
    <t>End of packet pass</t>
  </si>
  <si>
    <t>Invalid/incompatible result removed per normal rules</t>
  </si>
  <si>
    <t>Prevents circular elemental transformation.</t>
  </si>
  <si>
    <t>TRG-014</t>
  </si>
  <si>
    <t>HP Payment Legality</t>
  </si>
  <si>
    <t>Commit Skill with HP Casting or Blood Casting</t>
  </si>
  <si>
    <t>Current HP must be strictly greater than required HP payment</t>
  </si>
  <si>
    <t>Calculate ordinary authored MP basis and HP payment at commitment</t>
  </si>
  <si>
    <t>Once per commitment</t>
  </si>
  <si>
    <t>HP Casting conflicts with Blood Casting; neither can reduce caster to 0 HP or below</t>
  </si>
  <si>
    <t>Illegal payment blocks commitment</t>
  </si>
  <si>
    <t>External added MP remains MP for HP Casting unless explicitly convertible; does not increase Blood Casting HP payment.</t>
  </si>
  <si>
    <t>TRG-015</t>
  </si>
  <si>
    <t>Shield Pool and Decay</t>
  </si>
  <si>
    <t>Shield gained, damage received, or each 300 CT decay interval</t>
  </si>
  <si>
    <t>All active Shield capacity contributes; no universal stacking cap</t>
  </si>
  <si>
    <t>Incoming eligible damage including DoT consumes Shield before HP; every 300 CT decay by round(current total ×10%), minimum 1 if positive</t>
  </si>
  <si>
    <t>One decay every 300 CT</t>
  </si>
  <si>
    <t>Decay cannot damage HP; depleted Shield becomes 0</t>
  </si>
  <si>
    <t>Shield source owners retained</t>
  </si>
  <si>
    <t>Damage or decay event</t>
  </si>
  <si>
    <t>Overflow damage passes to HP</t>
  </si>
  <si>
    <t>No stacking limit. Total current Shield is the operative pool.</t>
  </si>
  <si>
    <t>TRG-016</t>
  </si>
  <si>
    <t>Break Equipment Legality</t>
  </si>
  <si>
    <t>Break disables enabling Doctrine/Race passive</t>
  </si>
  <si>
    <t>Current loadout depends on passive</t>
  </si>
  <si>
    <t>Inactivate dependent off hand; retain assignment; restore normally 2H main hand to 100% legal use</t>
  </si>
  <si>
    <t>Once per Break state change</t>
  </si>
  <si>
    <t>No recursive equipment validation; unit cannot enter undefined hand state</t>
  </si>
  <si>
    <t>Immediately on Break state change</t>
  </si>
  <si>
    <t>Dependent item inactive, not deleted</t>
  </si>
  <si>
    <t>Preserves Colossal Arsenal and Dual-Wield legality.</t>
  </si>
  <si>
    <t>Overview  |  Source: Architecture v4::Overview</t>
  </si>
  <si>
    <t>CTRBLXAI SRPG Architecture v4</t>
  </si>
  <si>
    <t>Chaos Tactics / CTRBLXAI core architecture. Architecture defines system ownership and design intent; the Core Game Manual remains the authority for exact combat formulas and rules.</t>
  </si>
  <si>
    <t>Architecture Rule</t>
  </si>
  <si>
    <t>Core philosophy</t>
  </si>
  <si>
    <t>CTRBLXAI is a procedurally generated roguelite tactical RPG centered around tactical adaptation.</t>
  </si>
  <si>
    <t>The design philosophy is Permanent Identity + Flexible Loadout + Tactical Decisions.</t>
  </si>
  <si>
    <t>Authority order</t>
  </si>
  <si>
    <t>Newest approved conversation decision &gt; current Core Game Manual &gt; current Architecture workbook &gt; earlier documents/proposals/superseded architecture versions.</t>
  </si>
  <si>
    <t>Architecture and Manual authority remain separated.</t>
  </si>
  <si>
    <t>Architecture authority</t>
  </si>
  <si>
    <t>This workbook defines system purpose, ownership, layer boundaries, content categories, reward-source boundaries, progression responsibilities, loadout ownership, procedural-generation philosophy, design principles, dependency order, and handoff state.</t>
  </si>
  <si>
    <t>Use this to keep future design discussions aligned.</t>
  </si>
  <si>
    <t>Manual authority</t>
  </si>
  <si>
    <t>The Core Game Manual owns exact AP/RT, damage and Defense formulas, status definitions and durations, movement, targeting and delayed resolution, LoS/projectiles, AOE, boss rules, equipment BP prices and curves, rarity probabilities, Fortune formulas, passive prices, weapon endpoint values, and Skill formulas, costs, timings, inheritance percentages, and simulation values.</t>
  </si>
  <si>
    <t>If architecture and Manual conflict on exact mechanics, the Manual wins.</t>
  </si>
  <si>
    <t>Current status</t>
  </si>
  <si>
    <t>v4 remains the current architecture and is aligned to the approved unified Skill Card framework and current Core Game Manual ownership.</t>
  </si>
  <si>
    <t>Includes unified level-less Skill Cards; explicit Skill Potency eligibility and weapon-property inheritance; Focus as a normal weapon family; approved Race, Doctrine, Passive Ownership, and Break frameworks; a representative 29-Skill library; a 15-Doctrine working simulation baseline; explicit finite MP recovery ownership; approved dual-wield scaling; expanded Augment ownership/families; simulation-first dependency order; and existing rarity, Fortune, reward, deployment, procedural eligibility, pattern-conversion, and equipment-family boundaries. Exact formulas and numerical rules remain Manual-owned.</t>
  </si>
  <si>
    <t>Patch date</t>
  </si>
  <si>
    <t>Corrective alignment to Architecture v4. Previous architecture version v3 remains Superseded in Version Tracking; no v5 was created.</t>
  </si>
  <si>
    <t>System Ownership  |  Source: Architecture v4::System Ownership</t>
  </si>
  <si>
    <t>System Ownership</t>
  </si>
  <si>
    <t>Each system owns a clear part of gameplay to avoid overlap and confusion.</t>
  </si>
  <si>
    <t>Owns</t>
  </si>
  <si>
    <t>Permanent species/heritage identity: Race Name, Description, Race Tags, starting primary-stat package, growth rates, and one authored Race Passive.</t>
  </si>
  <si>
    <t>Race Tags are structural and not Breakable. Mechanical applies Raw Weapon WT +15% before weapon-use scaling and STR WT reduction; no MP-regeneration suppression. The single Race Passive contains authored benefits/drawbacks and is Breakable. Exact values remain Manual-owned.</t>
  </si>
  <si>
    <t>Perk</t>
  </si>
  <si>
    <t>Permanent positive inherent unit identity trait.</t>
  </si>
  <si>
    <t>Breakable; standard recruit identity; outside normal loot.</t>
  </si>
  <si>
    <t>Drawback</t>
  </si>
  <si>
    <t>Permanent negative inherent unit identity constraint.</t>
  </si>
  <si>
    <t>Player Avatar</t>
  </si>
  <si>
    <t>Special player-facing identity customization exception.</t>
  </si>
  <si>
    <t>Can choose/change identity options at cost.</t>
  </si>
  <si>
    <t>Basic Attack behavior, main-hand properties, normal statistics, Effective Skill Level, and explicitly eligible Skill inheritance/passive compatibility.</t>
  </si>
  <si>
    <t>Any main-hand family may supply declared properties. Each passive declares Skill-tag/Target-Rule compatibility, frequency, timing, and restrictions. Weapon RT Delay applies to Skills only when explicitly inherited.</t>
  </si>
  <si>
    <t>Focus</t>
  </si>
  <si>
    <t>Normal weapon family whose built-in passive is designed to improve eligible Skill Cards.</t>
  </si>
  <si>
    <t>Uses normal BP rules and STR WT reduction; may Basic Attack and supply declared properties; does not provide Spell Power or replace a Skill Power Formula; is not the only inheritable family. Exact passives/prices/endpoints and off-hand BP framework remain parked.</t>
  </si>
  <si>
    <t>Armor</t>
  </si>
  <si>
    <t>Defense, Guard improvements, Armor Off-Hand behavior, and defensive customization.</t>
  </si>
  <si>
    <t>Armor BP framework remains Parked.</t>
  </si>
  <si>
    <t>Accessories</t>
  </si>
  <si>
    <t>Utility action customization.</t>
  </si>
  <si>
    <t>Movement, Push, Item, Interact, positioning, utility, and suitable passives. Accessory BP framework remains Parked.</t>
  </si>
  <si>
    <t>Shield / Armor Off-Hand</t>
  </si>
  <si>
    <t>Off-hand defensive archetypes, Defense, WT, Guard interaction, and 1H flexibility ownership.</t>
  </si>
  <si>
    <t>Framework remains Parked separately from weapon BP.</t>
  </si>
  <si>
    <t>Doctrine</t>
  </si>
  <si>
    <t>Exactly 15 baseline combat-philosophy packages. Each Doctrine owns one fixed net-zero six-primary-stat percentage package within ±15% per stat, one Breakable Doctrine Passive, and exactly 3 fixed Doctrine Skill choices; the unit selects 1 active Doctrine Skill.</t>
  </si>
  <si>
    <t>Rarity does not alter choice count, package, passive, Skill formulas/mechanics/timing/costs/power, or Augment Slots. Doctrine Skills remain usable during Break and each has exactly 2 Augment Slots. Acquisition/drop/Fortune structures and final calibration remain pending.</t>
  </si>
  <si>
    <t>Skill Cards</t>
  </si>
  <si>
    <t>Unified level-less active abilities. Skills own Skill Tags, Target Rules, Pattern, projectile behavior, targeting range, hit structure, timing, costs, formulas, inheritance, effects, compatibility requirements, special rules, Skill Potency eligibility, AOE behavior, and exactly 2 Augment Slots.</t>
  </si>
  <si>
    <t>Skills do not contain Augment-specific permission lists, exception fields, or compatibility tables. Effective Skill Level and explicit weapon inheritance remain unchanged.</t>
  </si>
  <si>
    <t>Augment Cards</t>
  </si>
  <si>
    <t>Level-less authored modifiers attached to a Skill Card's 2 universal Augment Slots. Augments own compatibility requirements, effects, costs, restrictions, and conflicts.</t>
  </si>
  <si>
    <t>A good Augment must be understandable from its own card; extensive Skill-specific exceptions indicate a new Skill. Acquisition, scarcity, content pools, and Fortune weighting remain parked.</t>
  </si>
  <si>
    <t>Limited-use tactical/progression item effects.</t>
  </si>
  <si>
    <t>Consumable architecture, quality, source pools, and Fortune interaction remain Pending.</t>
  </si>
  <si>
    <t>Guild/base utility and customization using furniture-specific properties.</t>
  </si>
  <si>
    <t>Furniture property BP remains Pending and separate from combat BP.</t>
  </si>
  <si>
    <t>Key Items</t>
  </si>
  <si>
    <t>Progression, unlocks, access, or special scripted functions.</t>
  </si>
  <si>
    <t>Curated reward content.</t>
  </si>
  <si>
    <t>Rewards / Fortune</t>
  </si>
  <si>
    <t>Reward source boundaries, occurrence, category selection, quality weighting, and expedition/town separation.</t>
  </si>
  <si>
    <t>Fortune modifies eligible occurrence and category-appropriate quality; it does not alter category selection or unlock zero-weight rarities.</t>
  </si>
  <si>
    <t>Persistent effects</t>
  </si>
  <si>
    <t>Original source/caster ownership and committed-value snapshotting.</t>
  </si>
  <si>
    <t>Ownership persists for attribution; numerical values do not dynamically scale from current owner stats unless explicitly defined.</t>
  </si>
  <si>
    <t>Passive Ownership and Break</t>
  </si>
  <si>
    <t>Approved. Break affects only Doctrine Passive, Race Passive, Inherent Unit Perk, and Inherent Unit Drawback.</t>
  </si>
  <si>
    <t>Race Tags, equipment passives and structural properties, Basic Attack, Skill Cards, Augments, existing effects, and summons remain active. Exact Break duration and resolution remain Manual-owned.</t>
  </si>
  <si>
    <t>Deterministic Utility Skill with no weapon inheritance or passive compatibility; fixed Range 1 Enemy target; Channel Time and rear-position validation; one success per target per battle; no chance or combat-stat contest.</t>
  </si>
  <si>
    <t>Creates a separate Steal reward opportunity and does not alter KO rewards. No success roll, Precision check, Evasiveness contest, Combat Fortune contest, or target-LUK contest applies. Chain-enabled Steal candidates validate eligibility independently. Exact values and reward-pool content remain Manual-owned/parked.</t>
  </si>
  <si>
    <t>Primary Stat Ownership  |  Source: Architecture v4::Primary Stat Ownership</t>
  </si>
  <si>
    <t>Primary-Stat Ownership</t>
  </si>
  <si>
    <t>Purpose of each primary stat. Exact formulas remain in the Manual.</t>
  </si>
  <si>
    <t>Architecture Notes</t>
  </si>
  <si>
    <t>Physical source power; physical equipment burden reduction; normal Weapon and Focus WT reduction; RT Delay strength; Force.</t>
  </si>
  <si>
    <t>STR creates deliberate hybrid-build considerations for Skill-focused units using weapon equipment. Skill Potency and Bonus Skill Range remain INT-owned.</t>
  </si>
  <si>
    <t>Movement Range; Movement RT efficiency; Evasiveness.</t>
  </si>
  <si>
    <t>Tactical value is map-dependent and measured through positioning/AP savings.</t>
  </si>
  <si>
    <t>Skill Potency; Max MP; Bonus Skill Range; other explicitly authored INT interactions.</t>
  </si>
  <si>
    <t>INT may participate in explicitly authored MP recovery systems but does not provide universal natural MP regeneration. MP recovery exists only through explicitly authored Skills, statuses, passives, items, map objects, battle conditions, Doctrines, Augments, and other authored effects. Skill Potency remains explicit opt-in; Bonus Skill Range affects targeting distance only; no separate Spell Power derivative exists.</t>
  </si>
  <si>
    <t>HP; Defense scaling; healing efficiency; debuff/RT Delay resistance; Stability.</t>
  </si>
  <si>
    <t>Primary durability identity.</t>
  </si>
  <si>
    <t>Precision; Jump; channel-time reduction; explicitly authored map-object interaction benefits.</t>
  </si>
  <si>
    <t>Each eligible map object declares whether DEX Interaction Efficiency applies and the affected property. Binary outcomes, permanent progression, full restoration, Max-HP-percentage effects, shops, quests, recruitment, and other non-scalable results do not automatically scale. Object-by-object classification remains Pending.</t>
  </si>
  <si>
    <t>Combat Fortune; Opening Initiative; Discovery Radius; exact-tie resolution; Unit Fortune; Expedition Fortune.</t>
  </si>
  <si>
    <t>Equipment occurrence, source-specific equipment quality, and Gold conversion are approved in the Manual. Category-specific quality for Cards, Augments, Doctrines, and Consumables remains Parked.</t>
  </si>
  <si>
    <t>MP recovery / Recharge</t>
  </si>
  <si>
    <t>Finite MP recovery is explicitly authored rather than universally natural. Recharge is explicit MP recovery, not natural MP regeneration.</t>
  </si>
  <si>
    <t>INT influences Recharge only through Max MP unless another authored rule applies.</t>
  </si>
  <si>
    <t>Equipment Hands Focus  |  Source: Architecture v4::Equipment Hands Focus</t>
  </si>
  <si>
    <t>Equipment, Hand Capacity, and Focus</t>
  </si>
  <si>
    <t>Equipment ownership, Focus weapon-family rules, weapon effect delivery, and range/pattern boundaries.</t>
  </si>
  <si>
    <t>Component</t>
  </si>
  <si>
    <t>Rules / Notes</t>
  </si>
  <si>
    <t>Main Hand</t>
  </si>
  <si>
    <t>Owns Basic Attack and provides Main-hand Item Level as Effective Skill Level.</t>
  </si>
  <si>
    <t>Every normal combat-capable unit requires a main-hand weapon; 1H leaves off-hand capacity and 2H normally occupies both hands. Authored special units may use an explicit intrinsic equivalent.</t>
  </si>
  <si>
    <t>Off-Hand</t>
  </si>
  <si>
    <t>Optional compatible loadout component for a 1H setup.</t>
  </si>
  <si>
    <t>Consumes the 1H setup’s reserved flexibility; incompatible with 2H. Off-hand Focus occupies this slot.</t>
  </si>
  <si>
    <t>Armor Off-Hand / Shield</t>
  </si>
  <si>
    <t>Defense, Guard interaction, WT, and off-hand compatibility.</t>
  </si>
  <si>
    <t>Shield/Armor Off-Hand BP framework remains Parked while preserving 1H flexibility ownership.</t>
  </si>
  <si>
    <t>Normal weapon family whose built-in passive is designed to improve eligible Skill Cards. Uses normal weapon BP targets/curves, handedness, Damage, WT, RT Delay, Defense, Range, Pattern, passive, and synergy pricing.</t>
  </si>
  <si>
    <t>May be main hand, Basic Attack, and supply explicitly inherited properties. Uses STR, not INT, for WT reduction; does not provide Spell Power or replace a Skill Power Formula; not the only inheritable family.</t>
  </si>
  <si>
    <t>Focus configurations</t>
  </si>
  <si>
    <t>Focus may be 2H, eligible 1H, or conceptually Off-hand. Built-in Bonus Skill Range remains mainly a 2H identity; eligible 1H Focus may receive it through procedural rarity when budget, lines, eligibility, and validation permit.</t>
  </si>
  <si>
    <t>Normal handedness pricing applies. Off-hand Focus BP framework remains parked until the relevant off-hand equipment framework exists.</t>
  </si>
  <si>
    <t>Focus WT ownership</t>
  </si>
  <si>
    <t>STR reduces Focus WT like other weapon WT; INT does not. Any Skill may explicitly inherit Effective Weapon WT from any eligible main-hand family.</t>
  </si>
  <si>
    <t>No weapon WT source is automatically ignored. Each Skill declares the inherited percentage/conversion, affected result, compatibility, and exceptions.</t>
  </si>
  <si>
    <t>Focus passives</t>
  </si>
  <si>
    <t>Focus passives use the normal passive-pricing framework. There is no automatic surcharge, mandatory reserve, discount, separate Focus BP curve, or universal all-Skill-damage behavior merely because the item is a Focus.</t>
  </si>
  <si>
    <t>Exact passive definitions, BP prices, Focus Skill Damage Modifier replacement eligibility, Mana Burn simulations, and final archetype endpoints remain parked.</t>
  </si>
  <si>
    <t>Focus hybrid role</t>
  </si>
  <si>
    <t>Focus may support any eligible Skill based on effect tags, Target Rules, and authored compatibility.</t>
  </si>
  <si>
    <t>Representative Skill Cards now exist as provisional baselines. Focus is not restricted to a removed card class.</t>
  </si>
  <si>
    <t>Skill weapon inheritance</t>
  </si>
  <si>
    <t>Any Skill may explicitly inherit eligible main-hand Weapon Damage, Effective WT, RT Delay, Defense, Maximum/Minimum Range, Pattern, Projectile Type, tags, properties, and compatible passives.</t>
  </si>
  <si>
    <t>Inheritance is never automatic. Minimum Range drawbacks remain part of an inherited ranged profile. Off-hand properties never contribute automatically.</t>
  </si>
  <si>
    <t>Required combat loadout</t>
  </si>
  <si>
    <t>Every normal combat-capable unit requires a main-hand weapon, Doctrine, and valid compatible Skill loadout.</t>
  </si>
  <si>
    <t>Normal player units, recruits, enemies, and Elites follow this rule. Authored summons, bosses, or special units may use an explicitly defined intrinsic equivalent; no normal unarmed Skill path exists.</t>
  </si>
  <si>
    <t>Weapon-passive delivery</t>
  </si>
  <si>
    <t>Skill compatibility is determined only by declared effect tags and Target Rules. Each passive declares compatible tags/rules, effect, delivery frequency, timing, and restrictions. Delivery may be once per Skill action, affected target, or successful hit.</t>
  </si>
  <si>
    <t>Multi-hit/multi-target repetition occurs only when declared. Reduced Pattern damage does not reduce passive magnitude unless damage-scaled. Weapon RT Delay applies to a Skill only through explicit inheritance. Basic Attacks retain compatible built-in behavior.</t>
  </si>
  <si>
    <t>Status-chain delivery</t>
  </si>
  <si>
    <t>Bleed, Raptured, and Wounded may advance by no more than one stage per successful hit.</t>
  </si>
  <si>
    <t>A status created by an evolution cannot recursively advance the chain during the same hit. Advanced repeated-delivery and synergy BP remain Parked.</t>
  </si>
  <si>
    <t>Pattern conversions</t>
  </si>
  <si>
    <t>Normal Line 2, Impact Splash, Cleave, Cone, Adjacent, and Chain conversions are only for eligible Single-pattern base weapons. A conversion replaces Single, is mutually exclusive, uses family eligibility, applies to Basic Attacks, and applies to a Skill only through explicit Weapon Pattern inheritance.</t>
  </si>
  <si>
    <t>Compatible passives resolve through declared Skill-tag compatibility, Target Rules, and frequency. Weapon RT Delay resolves for Basic Attacks and for Skills only through explicit inheritance. Exact shapes, percentages, targeting, distance, elevation, and tie-breakers remain Manual-owned.</t>
  </si>
  <si>
    <t>Primary Target plus tile directly behind the Primary Target.</t>
  </si>
  <si>
    <t>Manual owns exact coordinate/timing details.</t>
  </si>
  <si>
    <t>Projectile-only impact pattern: Primary Target full effect; four cardinally adjacent splash tiles receive reduced damage.</t>
  </si>
  <si>
    <t>Manual owns exact damage percentages.</t>
  </si>
  <si>
    <t>Range-1 melee pattern affecting three adjacent forward tiles.</t>
  </si>
  <si>
    <t>Whips and extended-reach melee weapons are ineligible. Extended Reach does not function with Cleave.</t>
  </si>
  <si>
    <t>Cone</t>
  </si>
  <si>
    <t>Primary Target plus three secondary tiles; shape rotates with attack direction.</t>
  </si>
  <si>
    <t>Extended Reach may affect initial targeting but does not enlarge Cone.</t>
  </si>
  <si>
    <t>Adjacent</t>
  </si>
  <si>
    <t>Range-1 melee pattern affecting four cardinally adjacent enemies.</t>
  </si>
  <si>
    <t>Whips and extended-reach melee weapons are ineligible. Extended Reach does not function with Adjacent.</t>
  </si>
  <si>
    <t>Chain</t>
  </si>
  <si>
    <t>Initial target followed by up to three additional eligible targets; each jump searches from the previous hit target.</t>
  </si>
  <si>
    <t>Manual owns exact distance, damage decay, elevation, and tie-break rules.</t>
  </si>
  <si>
    <t>High-value normal procedural weapon bonus that may increase Maximum Attack Range by one or two tiers as defined in the Manual.</t>
  </si>
  <si>
    <t>Does not alter Minimum Range, pattern dimensions, projectile type, Splash size, or AOE size. No global Maximum Attack Range cap is established. Cleave/Adjacent are incompatible because added Maximum Range does not function with fixed attacker-origin patterns.</t>
  </si>
  <si>
    <t>Projectile-ranged-only procedural bonus that reduces Minimum Range.</t>
  </si>
  <si>
    <t>Final Minimum Range cannot fall below 1. Does not change Maximum Range, projectile type, LoS, path rules, or pattern. Manual owns exact tiers and prices.</t>
  </si>
  <si>
    <t>Titan uses the Giant Race Tag and Breakable Colossal Arsenal Race Passive. Colossal Arsenal converts one normally 2H melee weapon into a 1H main-hand weapon while retaining off-hand access and 75% of its numerical properties. Titan Dual Wield uses two normally 2H melee weapons at 65% of each weapon's numerical properties.</t>
  </si>
  <si>
    <t>Natural single-weapon use retains 100% of numerical properties. Structural properties remain intact. During Break, an off-hand legal only through Colossal Arsenal is treated as unequipped while assigned and the main hand returns to normal 2H behavior. Titan Skills use unreduced base main-hand properties when explicitly inherited; off-hand properties never contribute automatically.</t>
  </si>
  <si>
    <t>Ordinary Dual Wield</t>
  </si>
  <si>
    <t>Requires two naturally legal 1H weapons and uses 75% of each weapon's numerical properties.</t>
  </si>
  <si>
    <t>Natural single-weapon use retains 100%. Structural properties remain intact. Dual-wield Basic Attacks remain one action with sequential independently resolved main-hand and off-hand attacks and applicable per-hit weapon effects.</t>
  </si>
  <si>
    <t>Cards Doctrine Model  |  Source: Architecture v4::Cards Doctrine Model</t>
  </si>
  <si>
    <t>Cards, Augments, and Doctrine</t>
  </si>
  <si>
    <t>Uniform card progression and authored-content boundaries.</t>
  </si>
  <si>
    <t>Design Intent</t>
  </si>
  <si>
    <t>Unified Skill Cards</t>
  </si>
  <si>
    <t>Skill Cards are level-less authored active abilities; there is no current mechanical class split.</t>
  </si>
  <si>
    <t>Any Skill may provide authored damage, healing, shields, buffs, debuffs, utility, summons, displacement, terrain/object/positional effects, or other behavior.</t>
  </si>
  <si>
    <t>Skill declarations</t>
  </si>
  <si>
    <t>Skills own Skill Tags, Target Rules, Pattern, projectile behavior, targeting range, hit structure, timing, costs, formulas, inheritance, effects, compatibility requirements, special rules, Skill Potency eligibility, AOE behavior, and exactly 2 Augment Slots.</t>
  </si>
  <si>
    <t>Skills do not contain Augment-specific permission lists, Augment exception fields, or Augment compatibility tables. Exact formulas and values remain Manual-owned.</t>
  </si>
  <si>
    <t>Any Skill may explicitly inherit eligible properties from its equipped main-hand weapon.</t>
  </si>
  <si>
    <t>Each inherited property, percentage/multiplier/conversion, affected result, compatibility, and exception is declared. Maximum and Minimum Range remain a complete inherited ranged profile.</t>
  </si>
  <si>
    <t>Effective Skill Level = Main-hand Item Level.</t>
  </si>
  <si>
    <t>Normal combat-capable units require main hand, Doctrine, and compatible Skill loadout. Authored special units may use an explicit intrinsic equivalent; there is no Unit Level fallback while unarmed.</t>
  </si>
  <si>
    <t>Equip-cost principle</t>
  </si>
  <si>
    <t>Unit Level may be used as an equip-cost or equip-restriction basis where an authored restriction exists.</t>
  </si>
  <si>
    <t>No primary-stat requirement exists for equipment or Skill Card use.</t>
  </si>
  <si>
    <t>Compatibility</t>
  </si>
  <si>
    <t>Compatibility is explicit binary validation using authored metadata, not resource payment or a stat requirement.</t>
  </si>
  <si>
    <t>Weapon-passive Skill compatibility uses declared effect tags and Target Rules; delivery frequency, timing, and restrictions are passive-owned.</t>
  </si>
  <si>
    <t>INT-owned multiplier available only to explicitly eligible Skill formulas.</t>
  </si>
  <si>
    <t>Each Skill identifies the approved formula component modified. No automatic application to damage, healing, shields, or any other property; Basic Attacks remain weapon-owned.</t>
  </si>
  <si>
    <t>Augment slots</t>
  </si>
  <si>
    <t>Every Skill Card has exactly 2 Augment Slots. Doctrine-provided Skills follow the same rule. Skill rarity and acquisition source do not modify slot count.</t>
  </si>
  <si>
    <t>Mute disables attached Skill Augments while the base Skill remains usable.</t>
  </si>
  <si>
    <t>Augment compatibility</t>
  </si>
  <si>
    <t>Augments own compatibility requirements, effects, costs, restrictions, and conflicts, evaluated against current Skill metadata.</t>
  </si>
  <si>
    <t>A good Augment must be understandable from its own card. If extensive Skill-specific exceptions are required, create a new Skill instead; no final exhaustive tag catalog is established.</t>
  </si>
  <si>
    <t>Skill Card rarity and Augment Card rarity represent acquisition scarcity only.</t>
  </si>
  <si>
    <t>Rarity does not change Skill power, Skill level, BP, procedural statistics, mechanics, or the universal count of exactly 2 Augment Slots. Acquisition, pools, and Fortune weighting remain parked.</t>
  </si>
  <si>
    <t>The baseline contains exactly 15 equippable combat-philosophy packages. Every Doctrine has one fixed six-primary-stat percentage package totaling 0% net and bounded to ±15% per stat, one Breakable Doctrine Passive, and exactly 3 fixed Doctrine Skill choices; the unit selects 1 active Doctrine Skill.</t>
  </si>
  <si>
    <t>Doctrine Skills use unified Skill Cards, remain usable during Break, and each has exactly 2 Augment Slots. Rarity does not alter choice count, package, passive, Skill formulas/mechanics/timing/costs/power, or slots.</t>
  </si>
  <si>
    <t>Doctrine state</t>
  </si>
  <si>
    <t>The completed baseline contains 15 Doctrine concepts: Vanguard, Berserker, Arcanist, Tactician, Ranger, Warlord, Shadowbinder, Spellblade, Ascetic, Trickster, Thief, Duelist, Twinblade, Juggernaut, and Conjurer.</t>
  </si>
  <si>
    <t>Working simulation baseline, not final balance approval. Acquisition sources, duplicate-copy handling, drop structures, Fortune weighting, and final package calibration remain pending.</t>
  </si>
  <si>
    <t>Representative Skill state</t>
  </si>
  <si>
    <t>The Manual contains 29 representative baseline Skills; 28 use provisional working simulation profiles and Steal is the locked baseline.</t>
  </si>
  <si>
    <t>Exact calibration is the top dependency. Steal reward-pool content remains parked.</t>
  </si>
  <si>
    <t>Tactical Foundation  |  Source: Architecture v4::Tactical Foundation</t>
  </si>
  <si>
    <t>Layer 1 - Tactical Foundation</t>
  </si>
  <si>
    <t>Universal actions, turn economy, deployment boundary, and core tactical ownership. Exact formulas remain in the Core Game Manual.</t>
  </si>
  <si>
    <t>System / Action</t>
  </si>
  <si>
    <t>Locked Architecture Rule</t>
  </si>
  <si>
    <t>Ownership / Notes</t>
  </si>
  <si>
    <t>Deployment maximum</t>
  </si>
  <si>
    <t>Maximum player-controlled deployment is 7 units.</t>
  </si>
  <si>
    <t>Standard PvE encounters generally contain at least twice the deployed player-unit count. At maximum deployment, approximately 14 enemies is normal encounter guidance, not a mandatory formula.</t>
  </si>
  <si>
    <t>Standard unit turn economy</t>
  </si>
  <si>
    <t>Standard units have 2 AP per turn and Base RT = 400.</t>
  </si>
  <si>
    <t>Architecture summarizes the economy; the Manual owns exact AP/RT behavior.</t>
  </si>
  <si>
    <t>Boss turn economy</t>
  </si>
  <si>
    <t>Boss units have 3 AP per turn and Base RT = 300.</t>
  </si>
  <si>
    <t>Bosses act more often and can do more per turn. Manual owns exact boss rules and resistances.</t>
  </si>
  <si>
    <t>Universal actions</t>
  </si>
  <si>
    <t>Current universal actions are Move, Basic Attack, Skill, Item, Push, Interact, Guard, and Wait/Rest.</t>
  </si>
  <si>
    <t>Universal actions come from the core tactical system, not from individual Skill Cards.</t>
  </si>
  <si>
    <t>Move costs 1 AP. Move may be used more than once if AP allows. Each Move action uses its own movement budget and path validation.</t>
  </si>
  <si>
    <t>Movement does not simply double because terrain, diagonals, elevation, Jump, occupancy, and path legality matter.</t>
  </si>
  <si>
    <t>Basic Attack is owned primarily by the equipped weapon.</t>
  </si>
  <si>
    <t>Weapon defines attack pattern, range, properties, mechanics, and projectile behavior if any. Basic Attacks do not use Skill Potency.</t>
  </si>
  <si>
    <t>Skill</t>
  </si>
  <si>
    <t>Skill uses an equipped unified Skill Card. Skill Cards are level-less authored active abilities; there is no current mechanical Spell Card or Weapon Card class.</t>
  </si>
  <si>
    <t>Each Skill explicitly declares its effect tags, Target Rules, AP/RT/MP ownership, timing, Power and RT Delay formulas, weapon-property and Bonus Skill Range inheritance, weapon-passive eligibility, Skill Potency eligibility, projectile and Pattern behavior, AOE Resolution Type, effects, compatibility, Augment Slots: exactly 2, and special rules. Exact values remain Manual-owned.</t>
  </si>
  <si>
    <t>Item uses a consumable or usable item. Item costs 1 AP.</t>
  </si>
  <si>
    <t>Default Item RT follows the Manual unless the item defines custom RT.</t>
  </si>
  <si>
    <t>Push is a universal tactical action. Push costs 1 AP. Push RT, range, and displacement follow the Manual.</t>
  </si>
  <si>
    <t>Push is modified by Force and other explicit effects. Other forced displacement from skills/effects should be called Knockback unless named otherwise.</t>
  </si>
  <si>
    <t>Interact activates map objects or battlefield features. Interact costs 1 AP.</t>
  </si>
  <si>
    <t>Each map object declares whether DEX Interaction Efficiency applies and what property is affected. Object-by-object classification remains Pending.</t>
  </si>
  <si>
    <t>Guard is a defensive universal action. Guard does not provide a final-action RT reduction bonus.</t>
  </si>
  <si>
    <t>Guard has AP/RT cost, once-per-turn limit, and damage reduction behavior as defined in the Manual.</t>
  </si>
  <si>
    <t>Loadout  |  Source: Architecture v4::Loadout</t>
  </si>
  <si>
    <t>Layer 3 - Loadout</t>
  </si>
  <si>
    <t>Loadout defines how a unit approaches the current expedition. Loadout is flexible and can change between battles, subject to rules.</t>
  </si>
  <si>
    <t>Loadout Component</t>
  </si>
  <si>
    <t>Loadout structure</t>
  </si>
  <si>
    <t>Every normal combat-capable unit requires a main-hand weapon, a Doctrine, and a valid compatible Skill loadout. Standard slots remain Main Hand, optional Off-Hand, Armor, Accessory, Accessory, Doctrine, Skill Cards, Doctrine Skills, and authored Augments.</t>
  </si>
  <si>
    <t>Applies to normal player units, random recruits, enemies, Elites, and other normally generated combat units. Authored summons, bosses, or special units may use an explicitly defined intrinsic equivalent. Off-Hand remains limited to a compatible 1H setup; a 2H weapon occupies both hand capacity.</t>
  </si>
  <si>
    <t>Equipment</t>
  </si>
  <si>
    <t>Equipment determines universal-action behavior, combat role, burden, defense, weapon interactions, and procedural bonus attributes.</t>
  </si>
  <si>
    <t>Base equipment identity remains readable. Item Level owns base progression; rarity owns positive procedural bonus BP for normal equipment.</t>
  </si>
  <si>
    <t>Weapon owns Basic Attack, normal weapon statistics, and main-hand Item Level as Effective Skill Level. Any Skill Card may explicitly inherit eligible properties from its equipped main-hand weapon.</t>
  </si>
  <si>
    <t>Possible declared sources include Weapon Damage, Effective Weapon WT, Weapon RT Delay, Weapon Defense, Maximum and Minimum Range, Weapon Pattern, Projectile Type, weapon tags/properties, and compatible passives. Inheritance is never automatic; each Skill declares the property, percentage/multiplier/conversion, affected result, compatibility, and exceptions.</t>
  </si>
  <si>
    <t>Focus is a normal weapon family whose built-in passive is designed to improve eligible Skill Cards. It uses standard weapon BP targets, curves, handedness, statistics, passive, and synergy pricing; may serve as main hand and Basic Attack; and is not the only weapon family whose properties Skills may inherit.</t>
  </si>
  <si>
    <t>STR reduces Focus WT; INT does not. Focus does not provide Spell Power or replace a Skill's authored Power Formula. Built-in Bonus Skill Range is mainly a 2H identity; eligible 1H Focus may roll it procedurally. Off-hand Focus is conceptually permitted but its BP framework, exact passives, prices, and endpoints remain parked.</t>
  </si>
  <si>
    <t>Armor primarily owns defense and defensive customization.</t>
  </si>
  <si>
    <t>Armor BP framework is Parked: archetypes, property ownership, bonus pools, Broken penalties, rarity calibration, and eligibility must be defined separately.</t>
  </si>
  <si>
    <t>Accessories primarily own utility customization.</t>
  </si>
  <si>
    <t>Accessory BP framework is Parked: utility properties, passive eligibility, bonus pools, and rarity calibration must be defined separately.</t>
  </si>
  <si>
    <t>Off-hand defensive equipment owns Defense, Guard interaction, WT, and off-hand compatibility.</t>
  </si>
  <si>
    <t>BP framework is Parked while preserving 1H flexibility ownership.</t>
  </si>
  <si>
    <t>Doctrine is an equippable combat-philosophy package. The baseline contains exactly 15 Doctrines. Every Doctrine has one fixed six-primary-stat package, one Breakable Doctrine Passive, and exactly 3 fixed Doctrine Skill choices; the unit selects 1 active Doctrine Skill.</t>
  </si>
  <si>
    <t>Doctrine rarity does not alter Skill choice count, stat package, passive, Skill formulas/mechanics/timing/costs/power, or Augment Slots. Doctrine Skills remain usable during Break and each has exactly 2 Augment Slots. Acquisition sources, duplicate handling, drop structures, and Fortune weighting remain separate pending work; final package calibration is also pending.</t>
  </si>
  <si>
    <t>Skill Cards are unified level-less authored active abilities. Effective Skill Level = Main-hand Item Level. Each Skill explicitly declares effect tags, Target Rules, costs, timing, formulas, inheritance, compatibility, Skill Potency eligibility, projectile/Pattern/AOE behavior, effects, exactly 2 Augment Slots, and special rules.</t>
  </si>
  <si>
    <t>No normal unarmed Skill path or Unit Level fallback exists. Unit Level may remain an equip-cost or equip-restriction basis where authored; no primary-stat requirement exists for equipment or Skill Card use.</t>
  </si>
  <si>
    <t>Augment Cards are level-less authored mechanical modifiers attached to eligible Skill Cards. Every Skill Card has exactly 2 Augment Slots, including ordinary Skill Cards and Doctrine-provided Skills. Skill rarity does not add slots.</t>
  </si>
  <si>
    <t>Slot count does not vary by Skill type, effect tags, Target Rules, rarity, source, power, complexity, costs, timing, inheritance, projectile behavior, Pattern, AOE behavior, or acquisition source. Compatibility boundaries remain unchanged; Augments modify mechanics rather than simple raw statistics, and acquisition and scarcity remain parked.</t>
  </si>
  <si>
    <t>Procedural Systems  |  Source: Architecture v4::Procedural Systems</t>
  </si>
  <si>
    <t>Procedural Systems</t>
  </si>
  <si>
    <t>Procedural generation should create interesting tactical problems, not unnecessary friction.</t>
  </si>
  <si>
    <t>Variation / Generation Inputs</t>
  </si>
  <si>
    <t>Recruits</t>
  </si>
  <si>
    <t>Race, Perk, Drawback.</t>
  </si>
  <si>
    <t>Standard recruits generate permanent identity.</t>
  </si>
  <si>
    <t>Fixed base archetype and Item Level progression; equipment-family eligibility; positive rarity-funded bonus attributes; tags; mechanically valid normal conversions; curated Unique exceptions.</t>
  </si>
  <si>
    <t>Every bonus must be independently useful. No generated bonus may rely on another affix, specific Skill Card, Doctrine, future mechanic, or undefined interaction. Invalid packages are rerolled.</t>
  </si>
  <si>
    <t>Normal weapon family using standard weapon BP targets, curves, handedness, statistics, passive pricing, and synergy pricing; its built-in passive is designed to improve eligible Skill Cards.</t>
  </si>
  <si>
    <t>Representative Skill Cards now exist as provisional baselines. Exact Focus passives, prices, final endpoints, and off-hand BP framework remain parked.</t>
  </si>
  <si>
    <t>Maps</t>
  </si>
  <si>
    <t>Layout, terrain, elevation, hazards, objectives, interactive objects, environmental features, enemy placement, reward placement.</t>
  </si>
  <si>
    <t>Maps generate tactical problems. DEX Interaction Efficiency is object-by-object opt-in.</t>
  </si>
  <si>
    <t>Enemies</t>
  </si>
  <si>
    <t>Traits, AI behavior, equipment, required main-hand weapon, Doctrine, compatible Skill loadout, Augments, map role, and encounter role.</t>
  </si>
  <si>
    <t>Normal generated combat units follow the required loadout. Authored bosses, summons, or special units may use an explicitly defined intrinsic equivalent. Seven-unit deployment guidance remains approximately 14 enemies at maximum deployment, not a mandatory formula.</t>
  </si>
  <si>
    <t>Rewards</t>
  </si>
  <si>
    <t>Source-owned opportunity, source-specific category selection, category quality table, and category-specific generation.</t>
  </si>
  <si>
    <t>Expedition Fortune modifies eligible occurrence and category-appropriate quality/scarcity, not category selection or zero-weight eligibility.</t>
  </si>
  <si>
    <t>Procedural exclusions</t>
  </si>
  <si>
    <t>Opposing-element ordinary generation, normal multi-element weapons, duplicate lines, incompatible conversions, and dependency-heavy generated combinations are excluded.</t>
  </si>
  <si>
    <t>Authored Unique items may intentionally break normal restrictions.</t>
  </si>
  <si>
    <t>Line 2, Impact Splash, Cleave, Cone, Adjacent, and Chain are normal procedural conversions only for eligible Single-pattern base weapons. A conversion replaces Single, is mutually exclusive, uses family eligibility, applies to Basic Attacks, and applies to a Skill only through explicit Weapon Pattern inheritance.</t>
  </si>
  <si>
    <t>Compatible passives resolve by declared Skill tags, Target Rules, and frequency. Weapon RT Delay resolves for Basic Attacks and for Skills only through explicit inheritance. Exact geometry, percentages, targeting, distance, elevation, and tie-breakers remain Manual-owned.</t>
  </si>
  <si>
    <t>Tactical Play  |  Source: Architecture v4::Tactical Play</t>
  </si>
  <si>
    <t>Layer 4 - Tactical Play</t>
  </si>
  <si>
    <t>Player skill is expressed through decisions made each turn.</t>
  </si>
  <si>
    <t>Decision Area</t>
  </si>
  <si>
    <t>Player Question</t>
  </si>
  <si>
    <t>Positioning</t>
  </si>
  <si>
    <t>Should I reposition?</t>
  </si>
  <si>
    <t>Movement costs AP and changes threat, LoS, terrain access, and objective access.</t>
  </si>
  <si>
    <t>Offense</t>
  </si>
  <si>
    <t>Should I attack or use a Skill Card?</t>
  </si>
  <si>
    <t>Weapons own attack; Skill Cards own active abilities.</t>
  </si>
  <si>
    <t>Resource timing</t>
  </si>
  <si>
    <t>Should I spend MP now?</t>
  </si>
  <si>
    <t>MP and RT are tactical resources.</t>
  </si>
  <si>
    <t>Should I Push for environmental advantage?</t>
  </si>
  <si>
    <t>Push can trigger collision, fall, object, tile, and hazard interactions.</t>
  </si>
  <si>
    <t>Should I Guard?</t>
  </si>
  <si>
    <t>Guard is a defensive action with AP/RT cost and tactical opportunity cost.</t>
  </si>
  <si>
    <t>Battlefield utility</t>
  </si>
  <si>
    <t>Should I interact with the battlefield?</t>
  </si>
  <si>
    <t>Interact enables map-object and scenario-specific plays.</t>
  </si>
  <si>
    <t>Timing</t>
  </si>
  <si>
    <t>Should I conserve RT?</t>
  </si>
  <si>
    <t>RT costs shape turn tempo.</t>
  </si>
  <si>
    <t>Target basis</t>
  </si>
  <si>
    <t>Should I target the unit or the tile?</t>
  </si>
  <si>
    <t>Important because tags interact differently with units and tiles.</t>
  </si>
  <si>
    <t>AOE risk</t>
  </si>
  <si>
    <t>Should I use AOE despite friendly fire?</t>
  </si>
  <si>
    <t>AOE is indiscriminate by default unless restricted by skill rules.</t>
  </si>
  <si>
    <t>Terrain interaction</t>
  </si>
  <si>
    <t>Should I exploit terrain, elevation, or tile states?</t>
  </si>
  <si>
    <t>Tile effects and target basis create tactical depth.</t>
  </si>
  <si>
    <t>Activities Rewards Fortune  |  Source: Architecture v4::Activities Rewards Fortune</t>
  </si>
  <si>
    <t>Activities, Rewards, and Fortune</t>
  </si>
  <si>
    <t>Activity sources, reward pipeline, Fortune ownership, source-specific rarity ceilings, and expedition/town boundaries.</t>
  </si>
  <si>
    <t>Boundary / Notes</t>
  </si>
  <si>
    <t>Reward pipeline</t>
  </si>
  <si>
    <t>Source determines opportunity; eligible non-guaranteed occurrence uses source-owned chance and Expedition Fortune; source selects category; selected category loads its source-specific quality table; Fortune modifies eligible quality weights; category-specific generation produces the reward.</t>
  </si>
  <si>
    <t>Fortune does not alter category weights or convert categories.</t>
  </si>
  <si>
    <t>Fortune never</t>
  </si>
  <si>
    <t>Adds reward slots; converts reward categories; unlocks an ineligible rarity; increases Elite encounter appearance; bypasses Boss daily reward limits; persists into merchants, recruitment, or blacksmithing.</t>
  </si>
  <si>
    <t>Zero-weight stays impossible.</t>
  </si>
  <si>
    <t>Dispatch</t>
  </si>
  <si>
    <t>Assigned units complete an activity without direct tactical control. Predetermined rewards are shown before acceptance.</t>
  </si>
  <si>
    <t>Uses assigned-team Fortune under the same top-three contribution concept where applicable.</t>
  </si>
  <si>
    <t>Explore</t>
  </si>
  <si>
    <t>Player-led expedition for discovery, encounters, hidden content, map objects, and procedural opportunities.</t>
  </si>
  <si>
    <t>Uses deployed Expedition Fortune.</t>
  </si>
  <si>
    <t>Quests</t>
  </si>
  <si>
    <t>Predetermined rewards; types include bring-me, standard battle, AI-guild arena, boss, protect, wave survival, and defeat-count.</t>
  </si>
  <si>
    <t>Uses participating activity team Fortune where applicable.</t>
  </si>
  <si>
    <t>Ordinary enemy drops</t>
  </si>
  <si>
    <t>Not guaranteed. Encounter/source owns Base Drop Chance independent of early LUK.</t>
  </si>
  <si>
    <t>Fortune multiplicatively improves eligible occurrence; it never creates extra slots.</t>
  </si>
  <si>
    <t>Normal encounters</t>
  </si>
  <si>
    <t>May drop equipment from Broken through Legendary.</t>
  </si>
  <si>
    <t>Mythic, Transcendent, and Unique have zero eligibility. Legendary can appear at a very low chance. Item Level remains restricted by Map Level, so low-level maps can produce low-level Legendary equipment, not high-level Legendary equipment.</t>
  </si>
  <si>
    <t>Elite encounters</t>
  </si>
  <si>
    <t>Rare random encounter events. Each completed Elite encounter provides one Elite reward opportunity.</t>
  </si>
  <si>
    <t>Fortune does not affect Elite appearance. Elite rewards may reach Mythic; Mythic remains extremely rare. Transcendent and Unique remain ineligible under the normal Elite table. Exact appearance rate remains Pending; Manual owns exact reward occurrence/quality values.</t>
  </si>
  <si>
    <t>Boss battles</t>
  </si>
  <si>
    <t>Each rewarded Boss completion provides guaranteed Rare-or-better equipment.</t>
  </si>
  <si>
    <t>Default rewarded-completion limit is three per day. Bosses may remain replayable after the limit, but additional completions do not provide another Mythic-eligible guaranteed equipment reward. Boss rewards may reach Mythic; Transcendent/Unique remain ineligible under ordinary daily Boss tables. Manual owns exact probabilities.</t>
  </si>
  <si>
    <t>Special events</t>
  </si>
  <si>
    <t>May explicitly permit Transcendent rewards.</t>
  </si>
  <si>
    <t>Event source must explicitly permit Transcendent.</t>
  </si>
  <si>
    <t>Authored special sources</t>
  </si>
  <si>
    <t>May award Unique items.</t>
  </si>
  <si>
    <t>Unique is explicit authored content, not normal random eligibility.</t>
  </si>
  <si>
    <t>Normal enemy drops, Elite reward opportunities, chests, hidden treasure, harvesting, battlefield Interact rewards, objectives, battle completion, and expedition completion.</t>
  </si>
  <si>
    <t>All use expedition/team Fortune where eligible.</t>
  </si>
  <si>
    <t>Category boundary</t>
  </si>
  <si>
    <t>Reward source determines category and quantity.</t>
  </si>
  <si>
    <t>Fortune does not rank or convert categories; equipment, cards, doctrines, furniture, consumables, Gold, and curated rewards remain source/category controlled.</t>
  </si>
  <si>
    <t>Fortune architecture</t>
  </si>
  <si>
    <t>Unit Fortune derives from LUK. Expedition Fortune uses the highest deployed Unit Fortune plus reduced contributions from the second- and third-highest deployed values and acts multiplicatively.</t>
  </si>
  <si>
    <t>Affects eligible occurrence and category-appropriate quality. It cannot turn zero-weight rarity into a possible result and does not affect Elite appearance or town services. Manual owns exact formulas, sensitivities, occurrence values, rarity weights, and Gold multiplier.</t>
  </si>
  <si>
    <t>Gold amount is Gold’s quality expression. Expedition Fortune may increase expedition-generated Gold using the Manual-approved formula.</t>
  </si>
  <si>
    <t>Gold Fortune applies only to expedition-generated Gold; it does not apply to selling items, merchant prices, recruitment, blacksmith costs, existing Gold, town rewards, or event currencies unless explicitly permitted.</t>
  </si>
  <si>
    <t>Parked category quality</t>
  </si>
  <si>
    <t>Skill Cards, Augment Cards, Doctrines, and Consumables need category-specific Fortune quality extensions.</t>
  </si>
  <si>
    <t>Parked until content pools and scarcity meaning exist.</t>
  </si>
  <si>
    <t>Town boundary</t>
  </si>
  <si>
    <t>Expedition Fortune does not persist into merchants, recruitment, blacksmithing, or town services.</t>
  </si>
  <si>
    <t>Town systems use Guild/facility progression, region, unlocks, recipes, and materials.</t>
  </si>
  <si>
    <t>UI Structure  |  Source: Architecture v4::UI Structure</t>
  </si>
  <si>
    <t>UI Structure</t>
  </si>
  <si>
    <t>Suggested unit/loadout UI structure showing identity vs loadout separation.</t>
  </si>
  <si>
    <t>UI Section</t>
  </si>
  <si>
    <t>Contents</t>
  </si>
  <si>
    <t>Standard recruits: generated and permanent by default.</t>
  </si>
  <si>
    <t>Weapon, Armor, Accessory, Accessory.</t>
  </si>
  <si>
    <t>Loadout layer.</t>
  </si>
  <si>
    <t>Fixed six-primary-stat package, Breakable Doctrine Passive, exactly 3 fixed Doctrine Skill choices, and selection of 1 active Doctrine Skill.</t>
  </si>
  <si>
    <t>Doctrine Skills remain usable during Break and each has exactly 2 Augment Slots.</t>
  </si>
  <si>
    <t>Unified Skill Cards, Doctrine Skills, and exactly 2 Augment Slots per Skill Card.</t>
  </si>
  <si>
    <t>Show declared compatibility, Target Rules, effect tags, inheritance, and attached Augments where appropriate.</t>
  </si>
  <si>
    <t>Player Avatar UI</t>
  </si>
  <si>
    <t>Avatar Race, Perks, Drawbacks, Doctrine, and unlocked options.</t>
  </si>
  <si>
    <t>Avatar identity can be changed later at a cost.</t>
  </si>
  <si>
    <t>Design Principles  |  Source: Architecture v4::Design Principles</t>
  </si>
  <si>
    <t>Design Principles</t>
  </si>
  <si>
    <t>Architecture principles for future design work.</t>
  </si>
  <si>
    <t>Principle</t>
  </si>
  <si>
    <t>SRPG first</t>
  </si>
  <si>
    <t>The game is an SRPG first and a build-crafting game second.</t>
  </si>
  <si>
    <t>Tactics remain the core.</t>
  </si>
  <si>
    <t>Character identity</t>
  </si>
  <si>
    <t>Character identity matters.</t>
  </si>
  <si>
    <t>Standard recruit identity is generated and permanent by default.</t>
  </si>
  <si>
    <t>Avatar exception</t>
  </si>
  <si>
    <t>The player avatar is a special customizable exception.</t>
  </si>
  <si>
    <t>Avatar identity can be changed later at cost.</t>
  </si>
  <si>
    <t>Flexible role</t>
  </si>
  <si>
    <t>Battlefield role is flexible.</t>
  </si>
  <si>
    <t>Loadout creates tactical expression.</t>
  </si>
  <si>
    <t>Universal actions remain simple and predictable.</t>
  </si>
  <si>
    <t>Complexity should come from combinations, not action confusion.</t>
  </si>
  <si>
    <t>Weapon ownership</t>
  </si>
  <si>
    <t>Weapons own Basic Attack.</t>
  </si>
  <si>
    <t>Avoid overlapping attack ownership.</t>
  </si>
  <si>
    <t>Armor/accessory ownership</t>
  </si>
  <si>
    <t>Armor and Accessories customize universal action behavior.</t>
  </si>
  <si>
    <t>Armor defensive, accessories utility.</t>
  </si>
  <si>
    <t>Doctrine ownership</t>
  </si>
  <si>
    <t>Doctrine defines combat philosophy through one fixed net-zero primary-stat multiplier package, one Breakable Doctrine Passive, and exactly 3 fixed Doctrine Skill choices; the unit selects 1 active Doctrine Skill.</t>
  </si>
  <si>
    <t>The baseline contains exactly 15 Doctrines. Rarity does not change Doctrine choice breadth or mechanics; Doctrine Skills remain usable during Break and each has exactly 2 Augment Slots.</t>
  </si>
  <si>
    <t>Skill ownership</t>
  </si>
  <si>
    <t>Skill Cards own active abilities.</t>
  </si>
  <si>
    <t>Active ability layer.</t>
  </si>
  <si>
    <t>Augment philosophy</t>
  </si>
  <si>
    <t>Augments modify Skill mechanics rather than serving as raw-number upgrades. Every Skill has exactly 2 slots; Augments own their compatibility, effects, costs, restrictions, and conflicts.</t>
  </si>
  <si>
    <t>A good Augment is understandable from its own card. Skills do not contain Augment-specific permission lists/tables; extensive Skill-specific exceptions should become a new Skill.</t>
  </si>
  <si>
    <t>Tactical decision</t>
  </si>
  <si>
    <t>Every mechanic should create a tactical decision.</t>
  </si>
  <si>
    <t>Avoid empty complexity.</t>
  </si>
  <si>
    <t>Readable restrictions</t>
  </si>
  <si>
    <t>Every forbidden combination should be explainable in one sentence.</t>
  </si>
  <si>
    <t>Player clarity.</t>
  </si>
  <si>
    <t>Predictability</t>
  </si>
  <si>
    <t>Players should be able to predict outcomes without external references.</t>
  </si>
  <si>
    <t>Supports deterministic combat direction.</t>
  </si>
  <si>
    <t>Randomness</t>
  </si>
  <si>
    <t>Randomness should generate interesting problems, not unnecessary friction.</t>
  </si>
  <si>
    <t>Procedural generation must support play.</t>
  </si>
  <si>
    <t>Emergent complexity</t>
  </si>
  <si>
    <t>Complexity should emerge from combining simple systems rather than making individual systems complicated.</t>
  </si>
  <si>
    <t>Modular depth.</t>
  </si>
  <si>
    <t>Loot purpose</t>
  </si>
  <si>
    <t>Loot should expand tactical options, not invalidate previous rules.</t>
  </si>
  <si>
    <t>Prevents loot power creep.</t>
  </si>
  <si>
    <t>Progression purpose</t>
  </si>
  <si>
    <t>Progression should unlock choices, not erase tactical constraints.</t>
  </si>
  <si>
    <t>Progress creates breadth, not only raw power.</t>
  </si>
  <si>
    <t>Design Order  |  Source: Architecture v4::Design Order</t>
  </si>
  <si>
    <t>Design Order</t>
  </si>
  <si>
    <t>Recommended architecture design order based on dependency order and approved systems.</t>
  </si>
  <si>
    <t>Design Layer</t>
  </si>
  <si>
    <t>Purpose</t>
  </si>
  <si>
    <t>Core combat rules</t>
  </si>
  <si>
    <t>Define combat foundation; Manual owns exact formulas.</t>
  </si>
  <si>
    <t>Turn structure and universal actions</t>
  </si>
  <si>
    <t>Define AP/RT timing and shared action language.</t>
  </si>
  <si>
    <t>Targeting, Pattern, effect-tag, Target Rule, LoS, projectile, and AOE architecture</t>
  </si>
  <si>
    <t>Define selection, resolution, and unit/tile interaction.</t>
  </si>
  <si>
    <t>Unified Skill Card framework</t>
  </si>
  <si>
    <t>Use one level-less authored Skill architecture with explicit metadata and inheritance.</t>
  </si>
  <si>
    <t>Representative Skill Card numerical simulation and calibration</t>
  </si>
  <si>
    <t>Calibrate the existing 29-Skill baseline library; 28 profiles remain provisional and Steal is locked.</t>
  </si>
  <si>
    <t>Augment architecture and representative content</t>
  </si>
  <si>
    <t>Create mechanics-first authored Augments without removed class tags.</t>
  </si>
  <si>
    <t>Weapon passive compatibility and delivery metadata</t>
  </si>
  <si>
    <t>Define Skill-tag, Target-Rule, frequency, timing, and restriction metadata.</t>
  </si>
  <si>
    <t>Focus passive definitions and Focus archetype endpoints</t>
  </si>
  <si>
    <t>Price normal Focus passives and complete endpoints after Skill simulation.</t>
  </si>
  <si>
    <t>Remaining equipment-family BP frameworks</t>
  </si>
  <si>
    <t>Define Armor, Accessory, Shield, and Armor Off-Hand frameworks.</t>
  </si>
  <si>
    <t>Equipment and item generation</t>
  </si>
  <si>
    <t>Translate approved procedural eligibility, rarity BP, and family rules into generation logic.</t>
  </si>
  <si>
    <t>Reward sources and source-specific rarity eligibility</t>
  </si>
  <si>
    <t>Apply Normal/Elite/Boss/Event/Authored ceilings.</t>
  </si>
  <si>
    <t>Category-specific Fortune extensions</t>
  </si>
  <si>
    <t>Extend eligible quality only after category content and scarcity exist.</t>
  </si>
  <si>
    <t>Guild and town progression</t>
  </si>
  <si>
    <t>Define Guild XP curve, relevance bands, service unlocks, and activity access.</t>
  </si>
  <si>
    <t>Metadata and validation schema</t>
  </si>
  <si>
    <t>Create tags, schema, validation rules, and save-data mapping.</t>
  </si>
  <si>
    <t>Implementation</t>
  </si>
  <si>
    <t>Build against approved systems. Passive Ownership and Break are approved, not pending.</t>
  </si>
  <si>
    <t>Handoff Status  |  Source: Architecture v4::Handoff Status</t>
  </si>
  <si>
    <t>CTRBLXAI Development Handoff Status</t>
  </si>
  <si>
    <t>Standalone project state for resuming design work with a minimal prompt.</t>
  </si>
  <si>
    <t>Current State / Rule</t>
  </si>
  <si>
    <t>Project identity</t>
  </si>
  <si>
    <t>Procedurally generated medieval-fantasy roguelite SRPG with deterministic combat, square-grid movement, elevation, AP turns, and an RT timeline.</t>
  </si>
  <si>
    <t>Design philosophy</t>
  </si>
  <si>
    <t>Permanent Identity + Flexible Loadout + Tactical Decisions. SRPG first; build crafting second.</t>
  </si>
  <si>
    <t>Newest approved conversation decision &gt; current Core Game Manual &gt; current Architecture &gt; earlier documents.</t>
  </si>
  <si>
    <t>Deployment</t>
  </si>
  <si>
    <t>Maximum seven player-controlled units.</t>
  </si>
  <si>
    <t>Current card state</t>
  </si>
  <si>
    <t>Unified level-less Skill Card framework approved. The Manual contains 29 representative baseline Skills. Twenty-eight use provisional working simulation profiles; Steal is the locked baseline. Exact numerical calibration remains the highest-priority dependency.</t>
  </si>
  <si>
    <t>Current equipment state</t>
  </si>
  <si>
    <t>Conventional weapon catalog remains provisional. Focus is an approved normal weapon family using standard weapon BP rules; exact Focus passives, prices, and final endpoints remain parked. Dagger's base passive remains provisional. Armor, Accessory, and Shield/Armor Off-Hand BP frameworks remain parked.</t>
  </si>
  <si>
    <t>Current/Parked</t>
  </si>
  <si>
    <t>Current rarity state</t>
  </si>
  <si>
    <t>Broken, Common, Uncommon, Rare, Epic, Legendary, Mythic, Transcendent, Unique. Exact normal equipment target BP and line limits are approved in the Manual.</t>
  </si>
  <si>
    <t>Current Fortune state</t>
  </si>
  <si>
    <t>Equipment occurrence, source-specific equipment quality, and expedition Gold conversion are approved in the Manual. Card, Augment, Doctrine, and Consumable quality extensions remain parked.</t>
  </si>
  <si>
    <t>Current reward state</t>
  </si>
  <si>
    <t>Normal encounters may reach Legendary. Elite encounters and daily-limited Boss rewards may reach Mythic. Transcendent is event-specific. Unique is authored.</t>
  </si>
  <si>
    <t>Current DEX state</t>
  </si>
  <si>
    <t>Universal Interaction Efficiency removed. Object-by-object opt-in classification remains parked.</t>
  </si>
  <si>
    <t>Current passive state</t>
  </si>
  <si>
    <t>Passive Ownership and Break are approved. Break affects Doctrine Passive, Race Passive, Inherent Unit Perk, and Inherent Unit Drawback. Race Tags and equipment passives remain active.</t>
  </si>
  <si>
    <t>Materials</t>
  </si>
  <si>
    <t>Material inventory and drop model remain undefined.</t>
  </si>
  <si>
    <t>Story</t>
  </si>
  <si>
    <t>Story structure remains parked; Guild Level remains the main account-wide progression structure currently defined.</t>
  </si>
  <si>
    <t>Manual role</t>
  </si>
  <si>
    <t>Exact formulas, timing, targeting, LoS, projectiles, AOE, statuses, boss rules, equipment BP, rarity probabilities, Fortune formulas, passive prices, and numeric combat behavior remain Manual-owned.</t>
  </si>
  <si>
    <t>Architecture role</t>
  </si>
  <si>
    <t>System ownership, design intent, layer boundaries, content categories, progression responsibilities, reward boundaries, and dependency order.</t>
  </si>
  <si>
    <t>Version</t>
  </si>
  <si>
    <t>Architecture v4 was initially applied on 2026-08-05 and received its unified Skill architecture corrective alignment on 2026-08-06. v3 remains Superseded in Version Tracking. No v5 was created.</t>
  </si>
  <si>
    <t>Current Focus state</t>
  </si>
  <si>
    <t>Focus may support any eligible Skill Card based on Skill effect tags, Target Rules, and authored compatibility. Focus is not restricted to a removed card class.</t>
  </si>
  <si>
    <t>Current Skill Potency state</t>
  </si>
  <si>
    <t>Skill Potency is explicit opt-in per Skill formula.</t>
  </si>
  <si>
    <t>Current inheritance state</t>
  </si>
  <si>
    <t>Any main-hand weapon family may provide explicitly inherited weapon properties. Focus is not the only eligible source.</t>
  </si>
  <si>
    <t>Top pending</t>
  </si>
  <si>
    <t>Representative baseline Skill simulation and numerical calibration.</t>
  </si>
  <si>
    <t>Top Pending</t>
  </si>
  <si>
    <t>Current Overflow state</t>
  </si>
  <si>
    <t>Overflow compatibility under the unified Skill Card framework remains pending clarification. Previous Skill-specific behavior is superseded and must not be used as a current rule.</t>
  </si>
  <si>
    <t>Current Augment Slot state</t>
  </si>
  <si>
    <t>Every Skill Card has exactly 2 Augment Slots, including Doctrine-provided Skills and Steal. Skill type, rarity, and source do not modify slot count. Augment acquisition, scarcity, content pools, and Fortune weighting remain parked.</t>
  </si>
  <si>
    <t>Current / Acquisition Parked</t>
  </si>
  <si>
    <t>Current Doctrine state</t>
  </si>
  <si>
    <t>Exactly 15 baseline Doctrines: Vanguard, Berserker, Arcanist, Tactician, Ranger, Warlord, Shadowbinder, Spellblade, Ascetic, Trickster, Thief, Duelist, Twinblade, Juggernaut, and Conjurer. Each has one fixed stat package, one Breakable passive, exactly 3 fixed Skill choices, and selection of 1 active Doctrine Skill. This is a working simulation baseline, not final balance.</t>
  </si>
  <si>
    <t>Current / Calibration Pending</t>
  </si>
  <si>
    <t>Current MP and Recharge state</t>
  </si>
  <si>
    <t>INT owns Skill Potency, Max MP, Bonus Skill Range, and authored interactions—not universal natural MP regeneration. MP recovery is explicitly authored. Recharge is explicit recovery; INT affects it only through Max MP absent another authored rule.</t>
  </si>
  <si>
    <t>Current dual-wield state</t>
  </si>
  <si>
    <t>Ordinary Dual Wield uses two legal 1H weapons at 75% each; Titan Dual Wield uses two normally 2H melee weapons at 65% each; Colossal Arsenal uses one normally 2H melee weapon as 1H main hand at 75%; natural single-weapon use is 100%. Structural properties remain intact.</t>
  </si>
  <si>
    <t>Current Architecture  |  Source: Architecture v4::Current Architecture</t>
  </si>
  <si>
    <t>Current Architecture Decisions</t>
  </si>
  <si>
    <t>Current system ownership, authority boundaries, approved decisions, and next unresolved dependencies.</t>
  </si>
  <si>
    <t>Newest approved conversation decision &gt; current Core Game Manual &gt; this architecture workbook &gt; older sheets/proposals.</t>
  </si>
  <si>
    <t>Manual boundary</t>
  </si>
  <si>
    <t>The Core Game Manual owns exact formulas and numerical rules: AP/RT; damage/Defense; statuses; movement; targeting/delayed resolution; LoS/projectiles; AOE; bosses; equipment BP; rarity probabilities; Fortune; passive prices; weapon endpoints; and Skill formulas, costs, timings, inheritance percentages, and simulation values.</t>
  </si>
  <si>
    <t>Architecture boundary</t>
  </si>
  <si>
    <t>Architecture owns system purpose, system ownership, layer boundaries, content categories, reward-source boundaries, progression responsibilities, loadout ownership, procedural-generation philosophy, design principles, dependency order, and current handoff state.</t>
  </si>
  <si>
    <t>Maximum player-controlled deployment is 7 units. Standard PvE guidance is generally at least twice deployed count; maximum deployment commonly implies about 14 enemies, not a mandatory formula.</t>
  </si>
  <si>
    <t>Primary-stat milestone</t>
  </si>
  <si>
    <t>STR owns normal Weapon/Focus WT reduction and RT Delay strength. INT owns explicit-eligibility Skill Potency, Max MP, Bonus Skill Range, and other authored interactions; it does not provide universal natural MP regeneration. DEX object scaling is opt-in. LUK/Fortune ownership remains as approved.</t>
  </si>
  <si>
    <t>Skill Cards are unified level-less authored active abilities with explicit effect tags, Target Rules, costs, timing, formulas, inheritance, compatibility, Skill Potency eligibility, projectile/Pattern/AOE behavior, effects, exactly 2 Augment Slots, and special rules. Effective Skill Level = Main-hand Item Level.</t>
  </si>
  <si>
    <t>INT-owned multiplier available only to explicitly eligible Skill formulas. Each Skill identifies the formula component modified; no property is modified automatically. Basic Attacks do not use it. No separate Spell Power stat exists.</t>
  </si>
  <si>
    <t>INT-owned derived property plus eligible flat bonuses. Each Skill declares inheritance; default is 100% unless stated otherwise. It changes targeting distance only, not Pattern/AOE or other area dimensions. Exact formula/rounding remain Manual-owned.</t>
  </si>
  <si>
    <t>Any Skill may explicitly inherit eligible properties from its main-hand weapon. Every property, percentage/multiplier/conversion, affected result, compatibility condition, and exception is declared; Maximum and Minimum Range remain a complete ranged profile.</t>
  </si>
  <si>
    <t>Focus is a normal weapon family using standard weapon BP rules, handedness, pricing, and statistics. It may Basic Attack and supply declared properties to compatible Skills, uses STR for WT reduction, does not provide Spell Power or replace Skill Power Formulas, and is not the only inheritable family.</t>
  </si>
  <si>
    <t>Current; passives/endpoints Parked</t>
  </si>
  <si>
    <t>Approved. Break affects Doctrine Passive, Race Passive, Inherent Unit Perk, and Inherent Unit Drawback only. Race Tags and equipment passives/statistics/affixes/structural properties remain active; Skill Cards and Augments remain usable.</t>
  </si>
  <si>
    <t>Race owns name, description, structural Race Tags, a six-stat starting package totaling 8, six growth rates totaling 2.00 per level, and one Breakable Race Passive containing authored benefits/drawbacks. Mechanical applies Raw Weapon WT +15% before weapon-use scaling and STR WT reduction and does not suppress MP regeneration. Exact values remain Manual-owned.</t>
  </si>
  <si>
    <t>The baseline contains exactly 15 Doctrines. Each owns one fixed net-zero six-primary-stat percentage package within ±15% per stat, one Breakable Doctrine Passive, and exactly 3 fixed Doctrine Skill choices; the unit selects 1 active Skill.</t>
  </si>
  <si>
    <t>Doctrine rarity represents acquisition scarcity only and does not alter choices, package, passive, Skill formulas/mechanics/timing/costs/power, or Augment Slots. Doctrine Skills remain usable during Break and have exactly 2 slots. Acquisition/drop/Fortune structures and final package calibration remain pending.</t>
  </si>
  <si>
    <t>Representative libraries</t>
  </si>
  <si>
    <t>The Manual contains 29 representative baseline Skills: 28 provisional working simulation profiles and locked baseline Steal. It also contains 15 baseline Doctrine concepts: Vanguard, Berserker, Arcanist, Tactician, Ranger, Warlord, Shadowbinder, Spellblade, Ascetic, Trickster, Thief, Duelist, Twinblade, Juggernaut, and Conjurer.</t>
  </si>
  <si>
    <t>Doctrine concepts are a working simulation baseline, not final balance approval.</t>
  </si>
  <si>
    <t>Skill compatibility uses declared effect tags and Target Rules. Each passive declares compatibility, frequency, timing, and restrictions; repetition is not automatic. Weapon RT Delay applies to Skills only through explicit inheritance.</t>
  </si>
  <si>
    <t>Line 2, Impact Splash, Cleave, Cone, Adjacent, and Chain replace Single for eligible base weapons, are mutually exclusive, apply to Basic Attacks, and apply to a Skill only through explicit Weapon Pattern inheritance. Passive delivery follows declared metadata.</t>
  </si>
  <si>
    <t>Top dependency</t>
  </si>
  <si>
    <t>Representative baseline Skill Card simulation and numerical calibration. Skill Card BP Builder remains parked until comparative simulations show the working profiles are reasonably balanced.</t>
  </si>
  <si>
    <t>Required normal combat loadout</t>
  </si>
  <si>
    <t>Every normal combat-capable unit requires a main-hand weapon, Doctrine, and compatible Skill loadout. Authored summons, bosses, or special units may use an explicitly defined intrinsic equivalent. Unit Level may support authored equip restrictions but is not an unarmed Skill fallback.</t>
  </si>
  <si>
    <t>Steal ownership</t>
  </si>
  <si>
    <t>Deterministic Utility Skill at fixed Range 1 with Channel Time and rear-position validation; no weapon inheritance/passive compatibility, success roll, Precision check, Evasiveness contest, Combat Fortune contest, or target-LUK contest; one successful Steal per target. Chain-enabled Steal candidates validate eligibility independently. The separate reward opportunity does not alter KO rewards; reward-pool content remains parked.</t>
  </si>
  <si>
    <t>v4 unified Skill architecture corrective audit</t>
  </si>
  <si>
    <t>Architecture v4 was aligned to the current unified Skill Card framework: obsolete card power-source classes and unarmed Effective Skill Level fallback were removed; Skill Potency became explicit opt-in; weapon inheritance became explicit for any eligible main-hand weapon family; Focus was retained as a normal weapon family; Passive Ownership and Break were marked approved; Race and Doctrine ownership were updated; representative Skill and Doctrine library state was recorded; and dependency order was revised to begin with Skill simulation and calibration.</t>
  </si>
  <si>
    <t>Audit record</t>
  </si>
  <si>
    <t>Overflow unified Skill compatibility</t>
  </si>
  <si>
    <t>Overflow remains pending clarification under the unified Skill Card framework. Do not apply the previous Skill-specific behavior as a current architecture rule. Before Overflow can be approved, its compatible Skill effect tags, compatible Target Rules, Skill MP Cost interaction, damage interaction, delivery scope, timing, and restrictions must be explicitly defined.</t>
  </si>
  <si>
    <t>v4 pending-state completion audit</t>
  </si>
  <si>
    <t>Recorded Overflow unified Skill compatibility as Pending Clarification in Current Architecture, Handoff Status, and Development Dependencies; clarified the initial v4 and corrective-alignment dates; preserved the simulation-first dependency order; and made no change to Overflow mechanics.</t>
  </si>
  <si>
    <t>Every Skill Card has exactly 2 Augment Slots. This includes ordinary Skill Cards, Doctrine-provided Skills, Skills that also exist as loot, Steal, and all current and future Skill Cards. Skill type, tags, Target Rules, rarity, source, power, complexity, costs, timing, inheritance, projectile behavior, Pattern, AOE behavior, and acquisition source do not change the slot count.</t>
  </si>
  <si>
    <t>v4 universal Augment Slot alignment audit</t>
  </si>
  <si>
    <t>Aligned Architecture v4 to the locked universal rule that every Skill Card has exactly 2 Augment Slots, including Doctrine-provided Skills and Steal. Removed obsolete authored-variable slot-count wording while preserving Augment acquisition, compatibility, scarcity, content pools, and Fortune weighting as separate parked work.</t>
  </si>
  <si>
    <t>Dual-wield scaling</t>
  </si>
  <si>
    <t>Ordinary Dual Wield requires two naturally legal 1H weapons and uses 75% of each weapon's numerical properties. Titan Dual Wield uses two normally 2H melee weapons at 65% each. Colossal Arsenal converts one normally 2H melee weapon into a 1H main hand at 75%. Natural single-weapon use retains 100%.</t>
  </si>
  <si>
    <t>Current; structural properties intact</t>
  </si>
  <si>
    <t>Finite MP recovery / Recharge</t>
  </si>
  <si>
    <t>MP recovery exists only through explicitly authored Skills, statuses, passives, items, map objects, battle conditions, Doctrines, Augments, and other effects. Recharge is explicit MP recovery, not natural MP regeneration.</t>
  </si>
  <si>
    <t>Augment ownership and baseline families</t>
  </si>
  <si>
    <t>Skills own their tags, Target Rules, Pattern, projectile behavior, range, hit structure, timing, costs, formulas, inheritance, effects, compatibility requirements, and special rules; they do not contain Augment-specific permission lists or tables. Augments own compatibility, effects, costs, restrictions, and conflicts. Approved families are Status Delivery, Element Conversion, Recovery, Resource Conversion, Stat Scaling, Displacement, Kill Trigger, Reward, Death Explosion, Pattern, and Terrain Effect; Elevation Mutation remains parked.</t>
  </si>
  <si>
    <t>Current / Elevation Mutation Parked</t>
  </si>
  <si>
    <t>v4 Manual synchronization audit</t>
  </si>
  <si>
    <t>Aligned Architecture v4 to the completed Core Game Manual baseline by removing universal INT MP recovery ownership, adopting finite explicit MP recovery ownership, locking 15 Doctrines with exactly three fixed Skill choices, recognizing the expanded Augment architecture and ownership framework, replacing rarity-dependent Doctrine choices, aligning ordinary dual wield and Titan dual wield architecture, preserving deterministic Steal ownership, and synchronizing Mechanical and Recharge ownership with the completed Manual.</t>
  </si>
  <si>
    <t>Development Dependencies  |  Source: Architecture v4::Development Dependencies</t>
  </si>
  <si>
    <t>Development Dependency Order</t>
  </si>
  <si>
    <t>Current order of unresolved systems so future chats do not drift.</t>
  </si>
  <si>
    <t>State</t>
  </si>
  <si>
    <t>Next Design Requirement</t>
  </si>
  <si>
    <t>Representative baseline Skill Card simulation and numerical calibration</t>
  </si>
  <si>
    <t>Highest-priority dependency.</t>
  </si>
  <si>
    <t>Calibrate the 29-Skill representative library comparatively; 28 working profiles remain provisional and Steal is the locked baseline.</t>
  </si>
  <si>
    <t>Focus passive definitions and normal BP pricing</t>
  </si>
  <si>
    <t>Parked pending Skill calibration.</t>
  </si>
  <si>
    <t>Define eligible Focus passives and price them within the normal passive-pricing framework.</t>
  </si>
  <si>
    <t>Final Focus archetype endpoint completion</t>
  </si>
  <si>
    <t>Parked.</t>
  </si>
  <si>
    <t>Complete final Focus endpoints after passive definitions and pricing; off-hand Focus BP remains separately parked.</t>
  </si>
  <si>
    <t>Consumable Architecture</t>
  </si>
  <si>
    <t>Pending.</t>
  </si>
  <si>
    <t>Define consumable families, quality, source pools, and Fortune interaction.</t>
  </si>
  <si>
    <t>Skill Card Acquisition and Scarcity</t>
  </si>
  <si>
    <t>Pending content pools.</t>
  </si>
  <si>
    <t>Define acquisition pools, scarcity meaning, duplicate handling, and Fortune weighting.</t>
  </si>
  <si>
    <t>Augment Card Acquisition and Scarcity</t>
  </si>
  <si>
    <t>Define Augment content pools, compatibility metadata, acquisition, scarcity, and Fortune weighting. Slot count is already locked at exactly 2 per Skill Card and is not part of this pending dependency.</t>
  </si>
  <si>
    <t>Doctrine Acquisition, Duplicates, Drops, and Fortune</t>
  </si>
  <si>
    <t>Define Doctrine acquisition sources, duplicate-copy handling, drop structures, and Fortune weighting. Doctrine count, fixed three-choice structure, and selection of one active Skill are already locked.</t>
  </si>
  <si>
    <t>Armor BP Framework</t>
  </si>
  <si>
    <t>Define armor archetypes, properties, bonus pools, Broken identity penalties, rarity calibration, and eligibility.</t>
  </si>
  <si>
    <t>Accessory BP Framework</t>
  </si>
  <si>
    <t>Define utility properties, passives, bonus pools, and rarity calibration.</t>
  </si>
  <si>
    <t>Shield and Armor Off-Hand BP Framework</t>
  </si>
  <si>
    <t>Define off-hand archetypes, Guard interaction, bonus eligibility, and BP calibration.</t>
  </si>
  <si>
    <t>Map-Object Interaction Classification</t>
  </si>
  <si>
    <t>Pending object-by-object review.</t>
  </si>
  <si>
    <t>Determine which map objects scale from DEX and what property is affected.</t>
  </si>
  <si>
    <t>Additional Passive Pricing Anchors</t>
  </si>
  <si>
    <t>Define remaining passive effects/prices and Shattering definition/price without prematurely completing the full catalog.</t>
  </si>
  <si>
    <t>Guild Progression Curve</t>
  </si>
  <si>
    <t>Furniture Property BP</t>
  </si>
  <si>
    <t>Define town-utility property and synergy pricing separately from combat BP.</t>
  </si>
  <si>
    <t>Implementation Metadata</t>
  </si>
  <si>
    <t>After design dependencies.</t>
  </si>
  <si>
    <t>Translate approved ownership into tags, schema, validation, generation rules, and save data.</t>
  </si>
  <si>
    <t>Additional Equipment Archetypes</t>
  </si>
  <si>
    <t>Define future equipment families and family-specific procedural pools without assuming weapon-affix formulas automatically apply.</t>
  </si>
  <si>
    <t>Skill Card BP Builder</t>
  </si>
  <si>
    <t>Skill Card BP Builder remains parked until representative baseline simulations demonstrate that the working Skill profiles are reasonably balanced in comparative value.</t>
  </si>
  <si>
    <t>Define compatible Skill effect tags, compatible Target Rules, Skill MP Cost interaction, damage interaction, delivery scope, timing, and restrictions. Do not assume Overflow applies to all Skill Cards.</t>
  </si>
  <si>
    <t>Final calibration of Doctrine packages</t>
  </si>
  <si>
    <t>Pending working-simulation calibration.</t>
  </si>
  <si>
    <t>Calibrate the fixed stat packages, Breakable passives, and three fixed Doctrine Skill choices across all 15 baseline Doctrines without changing their locked structure.</t>
  </si>
  <si>
    <t>Parked Topics  |  Source: Core Game Manual v0.9::Parked Topics</t>
  </si>
  <si>
    <t>Parked Topics and Future Review Items</t>
  </si>
  <si>
    <t>Topics intentionally deferred for later design chats or when data files are available.</t>
  </si>
  <si>
    <t>Current Status</t>
  </si>
  <si>
    <t>Future Review Notes</t>
  </si>
  <si>
    <t>Undefined passive effects and prices</t>
  </si>
  <si>
    <t>Includes passives with only seed names, preliminary BP, or incomplete effect/compatibility metadata.</t>
  </si>
  <si>
    <t>Shattering price</t>
  </si>
  <si>
    <t>Unpriced until final effect and Break/passive interactions are approved.</t>
  </si>
  <si>
    <t>No Skill Card BP builder is approved.</t>
  </si>
  <si>
    <t>Final Skill Card numerical balancing</t>
  </si>
  <si>
    <t>Baseline Skill simulation and numerical calibration are highest priority.</t>
  </si>
  <si>
    <t>Focus passive BP prices</t>
  </si>
  <si>
    <t>Define using normal BP pricing once representative Focus passives are approved.</t>
  </si>
  <si>
    <t>Final Focus archetype endpoints</t>
  </si>
  <si>
    <t>Focus remains a normal weapon family; endpoints pending.</t>
  </si>
  <si>
    <t>Off-hand Focus BP framework</t>
  </si>
  <si>
    <t>Pending off-hand equipment framework.</t>
  </si>
  <si>
    <t>Consumable architecture and Fortune</t>
  </si>
  <si>
    <t>No consumable quality structure or Fortune weighting finalized.</t>
  </si>
  <si>
    <t>Skill Card acquisition and scarcity</t>
  </si>
  <si>
    <t>Acquisition scarcity remains parked.</t>
  </si>
  <si>
    <t>Augment Card acquisition and scarcity</t>
  </si>
  <si>
    <t>Doctrine acquisition, rarity-choice counts, and Fortune</t>
  </si>
  <si>
    <t>Doctrine acquisition/rarity/Fortune remains parked.</t>
  </si>
  <si>
    <t>Define armor base archetypes, curves, bonus pools, Broken penalties, rarity calibration, and eligibility.</t>
  </si>
  <si>
    <t>Define accessory base value, utility pricing, bonus pools, passive eligibility, and rarity calibration.</t>
  </si>
  <si>
    <t>Define defensive off-hands, Defense/WT profiles, Guard interaction, procedural eligibility, and BP calibration.</t>
  </si>
  <si>
    <t>Material inventory and drops</t>
  </si>
  <si>
    <t>Future inventory/drop-model work.</t>
  </si>
  <si>
    <t>Blacksmith functionality</t>
  </si>
  <si>
    <t>No blacksmith mechanics assumed.</t>
  </si>
  <si>
    <t>Crafting</t>
  </si>
  <si>
    <t>Parked for future approval.</t>
  </si>
  <si>
    <t>Upgrade systems</t>
  </si>
  <si>
    <t>No upgrade assumptions added.</t>
  </si>
  <si>
    <t>Durability</t>
  </si>
  <si>
    <t>Monetization</t>
  </si>
  <si>
    <t>Graphics and audio pipelines</t>
  </si>
  <si>
    <t>No graphics/audio pipeline assumptions added.</t>
  </si>
  <si>
    <t>Mana Burn low/high INT simulation</t>
  </si>
  <si>
    <t>Max MP now includes Base MP 20. Re-evaluate Mana Burn’s Extra MP Cost and damage at low, balanced, and high INT because Extra MP Cost = round(Max MP × 20%) now includes the fixed Base MP component. No formula change is approved yet.</t>
  </si>
  <si>
    <t>Pending Simulation</t>
  </si>
  <si>
    <t>Current highest-priority dependency order</t>
  </si>
  <si>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</si>
  <si>
    <t>Current / Parked dependencies</t>
  </si>
  <si>
    <t>Overflow unified-framework compatibility</t>
  </si>
  <si>
    <t>Define Overflow compatibility under the unified Skill Card framework. Do not assume it affects all Skill Cards.</t>
  </si>
  <si>
    <t>Focus Skill Damage Modifier</t>
  </si>
  <si>
    <t>Eligibility is pending redesign under the unified Skill Card framework. A replacement must declare compatible Skill Tags and Target Rules. Until approved, do not apply a universal Focus damage modifier to Skill Cards.</t>
  </si>
  <si>
    <t>Focus LoS Bypass compatibility and price</t>
  </si>
  <si>
    <t>Partially approved</t>
  </si>
  <si>
    <t>The bypass effect is locked. Compatible Skill effect tags, Target Rules, delivery frequency, timing, restrictions, projectile interaction, and final BP price remain pending.</t>
  </si>
  <si>
    <t>Representative Skill targeting ranges</t>
  </si>
  <si>
    <t>Working baselines assigned; final calibration pending</t>
  </si>
  <si>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</si>
  <si>
    <t>Representative Skill Augment Slots</t>
  </si>
  <si>
    <t>Resolved / Locked</t>
  </si>
  <si>
    <t>Every Skill Card has exactly 2 Augment Slots, including Doctrine-provided Skills, regardless of type, rarity, source, tags, power, or complexity. No per-Skill slot-count review remains.</t>
  </si>
  <si>
    <t>Ordinary dual wield uses two naturally legal 1H weapons at 75% of each weapon’s numerical properties. The shared Dual-Wield Basic Attack, Knockback, passive-delivery, Break, and main-hand-only Skill-inheritance rules apply.</t>
  </si>
  <si>
    <t>Erosion elevation safety</t>
  </si>
  <si>
    <t>Define elevation bounds, occupied/objective/deployment safety, wall/bridge/object/boundary interaction, connectivity, AI pathing, and unreachable-area prevention.</t>
  </si>
  <si>
    <t>Raise Earth elevation safety</t>
  </si>
  <si>
    <t>See 15 OPEN DECISIONS!C37 — canonical text; not duplicated here.</t>
  </si>
  <si>
    <t>Exact Focus passive definitions</t>
  </si>
  <si>
    <t>Focus remains conceptual; exact passive effects, compatibility, and pricing remain pending.</t>
  </si>
  <si>
    <t>Remaining Augment acquisition pools and exact drop weights</t>
  </si>
  <si>
    <t>Define acquisition pools, exact scarcity/drop weights, and content distribution without changing the universal two-slot rule.</t>
  </si>
  <si>
    <t>Exact Doctrine acquisition sources and duplicate-copy handling</t>
  </si>
  <si>
    <t>Define sources, duplicates, and drop tables; fixed three-choice baseline remains locked.</t>
  </si>
  <si>
    <t>Final numerical calibration of 15 Doctrine packages</t>
  </si>
  <si>
    <t>Approve the six-stat working packages and remaining passive values; each package must net 0% and remain within ±15% per stat.</t>
  </si>
  <si>
    <t>Final numerical calibration of baseline Augment costs</t>
  </si>
  <si>
    <t>Calibrate working MP, RT, timing, HP, range, and weapon-scaling costs.</t>
  </si>
  <si>
    <t>Dagger base-passive definition</t>
  </si>
  <si>
    <t>Piercing Edge / Brutal effect and BP allocation remain provisional.</t>
  </si>
  <si>
    <t>Version Tracking  |  Source: Core Game Manual v0.9::Version Tracking</t>
  </si>
  <si>
    <t>CTRBLXAI Manual Version Tracking v0.9</t>
  </si>
  <si>
    <t>Version history and source notes.</t>
  </si>
  <si>
    <t>Date</t>
  </si>
  <si>
    <t>Summary</t>
  </si>
  <si>
    <t>v0.1</t>
  </si>
  <si>
    <t>2026-07-31</t>
  </si>
  <si>
    <t>Initial workbook created from locked design decisions in design review chat.</t>
  </si>
  <si>
    <t>Superseded</t>
  </si>
  <si>
    <t>v0.2</t>
  </si>
  <si>
    <t>Safe rebuild with locked clarifications: rounding, minimum damage, boss duration/cutoff, Frenzy, Guard, Item/Interact RT, fall damage, wall collision, and KO tile sharing.</t>
  </si>
  <si>
    <t>v0.3</t>
  </si>
  <si>
    <t>2026-08-01</t>
  </si>
  <si>
    <t>Added locked Targeting, LoS, Projectile, AOE, Chain, target lock, unit/tile resolution, and pattern classification rules.</t>
  </si>
  <si>
    <t>Source note</t>
  </si>
  <si>
    <t>This workbook was rebuilt from the uploaded CTRBLXAI_Core_Game_Manual.xlsx and locked design decisions from the chat. No local repository files were inspected.</t>
  </si>
  <si>
    <t>v0.4</t>
  </si>
  <si>
    <t>2026-08-03</t>
  </si>
  <si>
    <t>Excel-safe comprehensive rebuild preserving all original sheets and adding approved primary-stat, weapon, card, rarity, loot, and Guild decisions.</t>
  </si>
  <si>
    <t>v0.5</t>
  </si>
  <si>
    <t>Applied approved deployment, INT/Skill Potency, Spell/Weapon Card classification, snapshotting, Focus WT, passive delivery, weapon pattern/range, rarity budget, procedural eligibility, passive price, Fortune, reward table, and parked-topic decisions.</t>
  </si>
  <si>
    <t>v0.6</t>
  </si>
  <si>
    <t>Clarified Weapon Card property inheritance; corrected rarity-table formatting and totals; added the Focus weapon-family placeholder; expanded parked equipment-family frameworks; removed the obsolete merged Ice-affix record; added the elite-encounter identity rule.</t>
  </si>
  <si>
    <t>v0.7</t>
  </si>
  <si>
    <t>Final cleanup of obsolete current-rule data, document title/version alignment, rarity-table formatting, catalog wording, and duplicate/conflicting entries.</t>
  </si>
  <si>
    <t>v0.8</t>
  </si>
  <si>
    <t>Unified Skill Card architecture; revised Skill Card costs, tags, weapon inheritance, passive compatibility, Bonus Skill Range, Max MP, Channel Time and Activation Time; locked Passive Ownership and Break framework; added Race Tag and baseline Race framework; added Doctrine framework; revised Bleed-family and Venom healing interactions; added baseline Steal Skill; clarified Titan Colossal Arsenal and dual-wield interactions; retained Focus as a normal weapon family using standard weapon BP curves.</t>
  </si>
  <si>
    <t>v0.9</t>
  </si>
  <si>
    <t>Documentation-first corrective edition: dedicated Skills, Augments, Doctrines, and Trigger Recursion authorities; completed working Doctrine content; recorded loop and recursion safeguards.</t>
  </si>
  <si>
    <t>Catalog References  |  Source: Core Game Manual v0.9::Catalog References</t>
  </si>
  <si>
    <t>Authoritative Catalog References</t>
  </si>
  <si>
    <t>Pointers to dedicated Skills, Augments, Doctrines, and recursion authorities.</t>
  </si>
  <si>
    <t>Catalog</t>
  </si>
  <si>
    <t>Reference</t>
  </si>
  <si>
    <t>Skills detailed catalog</t>
  </si>
  <si>
    <t>See Skills worksheet; authoritative.</t>
  </si>
  <si>
    <t>Locked authority reference</t>
  </si>
  <si>
    <t>Augments detailed catalog</t>
  </si>
  <si>
    <t>See Augments worksheet; authoritative.</t>
  </si>
  <si>
    <t>Doctrines detailed catalog</t>
  </si>
  <si>
    <t>See Doctrines worksheet; authoritative.</t>
  </si>
  <si>
    <t>Trigger and recursion rules</t>
  </si>
  <si>
    <t>See Trigger Recursion worksheet; authoritative.</t>
  </si>
  <si>
    <t>CONSOLIDATION LEDGER — every source worksheet accounted for</t>
  </si>
  <si>
    <t>Source workbook</t>
  </si>
  <si>
    <t>Source worksheet</t>
  </si>
  <si>
    <t>Destination / disposition</t>
  </si>
  <si>
    <t>Start row</t>
  </si>
  <si>
    <t>End row</t>
  </si>
  <si>
    <t>Coverage status</t>
  </si>
  <si>
    <t>Core Game Manual v0.9</t>
  </si>
  <si>
    <t>Core Stats</t>
  </si>
  <si>
    <t>Included once</t>
  </si>
  <si>
    <t>Timeline AP RT</t>
  </si>
  <si>
    <t>Action Economy</t>
  </si>
  <si>
    <t>Combat Resolution</t>
  </si>
  <si>
    <t>Boss Rules</t>
  </si>
  <si>
    <t>Movement Elevation</t>
  </si>
  <si>
    <t>Elevation &amp; Displacement</t>
  </si>
  <si>
    <t>Projectile LoS</t>
  </si>
  <si>
    <t>AOE Patterns</t>
  </si>
  <si>
    <t>LoS Baseline</t>
  </si>
  <si>
    <t>Statuses Damage</t>
  </si>
  <si>
    <t>Statuses Control</t>
  </si>
  <si>
    <t>Statuses Buffs States</t>
  </si>
  <si>
    <t>Weapon BP Rules</t>
  </si>
  <si>
    <t>Weapon Archetypes</t>
  </si>
  <si>
    <t>Item Rarity Generation</t>
  </si>
  <si>
    <t>Rarity Budgets</t>
  </si>
  <si>
    <t>Item Generation Rules</t>
  </si>
  <si>
    <t>Titan Arsenal</t>
  </si>
  <si>
    <t>Skill Framework</t>
  </si>
  <si>
    <t>Skills</t>
  </si>
  <si>
    <t>Augment Rules</t>
  </si>
  <si>
    <t>Parked Augments</t>
  </si>
  <si>
    <t>Rejected Augments</t>
  </si>
  <si>
    <t>Cards and Doctrines</t>
  </si>
  <si>
    <t>Doctrines</t>
  </si>
  <si>
    <t>Race Roster</t>
  </si>
  <si>
    <t>Race Rules</t>
  </si>
  <si>
    <t>LUK Fortune Discovery</t>
  </si>
  <si>
    <t>Activities and Loot</t>
  </si>
  <si>
    <t>Reward Sequence</t>
  </si>
  <si>
    <t>Fortune Sensitivity</t>
  </si>
  <si>
    <t>Gold Fortune</t>
  </si>
  <si>
    <t>Elite Loot Rules</t>
  </si>
  <si>
    <t>Guild Progression</t>
  </si>
  <si>
    <t>Trigger Recursion</t>
  </si>
  <si>
    <t>Overview</t>
  </si>
  <si>
    <t>Primary Stat Ownership</t>
  </si>
  <si>
    <t>Equipment Hands Focus</t>
  </si>
  <si>
    <t>Cards Doctrine Model</t>
  </si>
  <si>
    <t>Tactical Foundation</t>
  </si>
  <si>
    <t>Loadout</t>
  </si>
  <si>
    <t>Tactical Play</t>
  </si>
  <si>
    <t>Activities Rewards Fortune</t>
  </si>
  <si>
    <t>Handoff Status</t>
  </si>
  <si>
    <t>Current Architecture</t>
  </si>
  <si>
    <t>Development Dependencies</t>
  </si>
  <si>
    <t>Parked Topics</t>
  </si>
  <si>
    <t>Version Tracking</t>
  </si>
  <si>
    <t>Catalog References</t>
  </si>
  <si>
    <t>Decomposed; project-level rows included once</t>
  </si>
  <si>
    <t>Current Decisions</t>
  </si>
  <si>
    <t>Deduplicated against canonical subject sheets; unique current rules included once</t>
  </si>
  <si>
    <t>Index</t>
  </si>
  <si>
    <t>Excluded legacy/duplicate</t>
  </si>
  <si>
    <t>Replaced by the new INDEX.</t>
  </si>
  <si>
    <t>Decomposed into a single project-identity block; parked topics and version data live elsewhere.</t>
  </si>
  <si>
    <t>Deduplicated: only rules not represented in canonical subject sheets are written once in PROJECT RULES.</t>
  </si>
  <si>
    <t>Skill Library</t>
  </si>
  <si>
    <t>Legacy summary; authoritative Skills is included.</t>
  </si>
  <si>
    <t>Doctrine Library</t>
  </si>
  <si>
    <t>Legacy summary; authoritative Doctrines is included.</t>
  </si>
  <si>
    <t>Doctrine Passives</t>
  </si>
  <si>
    <t>Duplicate view; authoritative Doctrines is included.</t>
  </si>
  <si>
    <t>Augment Library</t>
  </si>
  <si>
    <t>Legacy summary; authoritative Augments is included.</t>
  </si>
  <si>
    <t>Excluded legacy/context</t>
  </si>
  <si>
    <t>Retained in archived Architecture v4; superseded by the v5 implementation-contract sheets included in this manual.</t>
  </si>
  <si>
    <t>Character Identity</t>
  </si>
  <si>
    <t>Skills Augments Doctrine</t>
  </si>
  <si>
    <t>Item Content Types</t>
  </si>
  <si>
    <t>Reward Boundaries</t>
  </si>
  <si>
    <t>Rarity Architecture</t>
  </si>
  <si>
    <t>Guild Town Progression</t>
  </si>
  <si>
    <t>Weapon Reference</t>
  </si>
  <si>
    <t>COVERAGE AND INVARIANT AUDIT</t>
  </si>
  <si>
    <t>Check</t>
  </si>
  <si>
    <t>Expected/source</t>
  </si>
  <si>
    <t>Included/result</t>
  </si>
  <si>
    <t>Manual worksheets accounted for</t>
  </si>
  <si>
    <t>PASS</t>
  </si>
  <si>
    <t>Architecture worksheets accounted for</t>
  </si>
  <si>
    <t>Status-bearing source rows in Manual</t>
  </si>
  <si>
    <t>PASS — 110 occur only in excluded legacy/summary sheets</t>
  </si>
  <si>
    <t>Authoritative Skill profiles</t>
  </si>
  <si>
    <t>Authoritative Augment/rejection records</t>
  </si>
  <si>
    <t>Authoritative Doctrine records</t>
  </si>
  <si>
    <t>Authoritative Trigger rules</t>
  </si>
  <si>
    <t>SOURCE FILES</t>
  </si>
  <si>
    <t>Core Game Manual</t>
  </si>
  <si>
    <t>CTRBLXAI_Core_Game_Manual_v0.9_DOCUMENTATION_FIRST 2.xlsx</t>
  </si>
  <si>
    <t>Primary game-rule and authored-content source</t>
  </si>
  <si>
    <t>v0.9 Current</t>
  </si>
  <si>
    <t>Architecture</t>
  </si>
  <si>
    <t>CTRBLXAI_SRPG_Architecture_v4.xlsx</t>
  </si>
  <si>
    <t>Runtime, data, pipeline, validation, persistence, and failure source</t>
  </si>
  <si>
    <t>v4 Current source</t>
  </si>
  <si>
    <t>Exact long-text duplicates replaced with canonical references</t>
  </si>
  <si>
    <t>Live validation formulas restored from previous Manual</t>
  </si>
  <si>
    <t>Skills, Augments, Doctrines, Race Roster, Rarity Budgets, and Loot Rarity Weights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</si>
</sst>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6">
    <font>
      <sz val="11"/>
      <color theme="1"/>
      <name val="Calibri"/>
      <family val="2"/>
      <charset val="1"/>
    </font>
    <font>
      <b/>
      <sz val="16"/>
      <color rgb="FFFFFFFF"/>
      <name val="Cambria"/>
      <charset val="1"/>
    </font>
    <font>
      <i/>
      <sz val="11"/>
      <color rgb="FF666666"/>
      <name val="Cambria"/>
      <charset val="1"/>
    </font>
    <font>
      <b/>
      <sz val="11"/>
      <color rgb="FFFFFFFF"/>
      <name val="Cambria"/>
      <charset val="1"/>
    </font>
    <font>
      <b/>
      <sz val="12"/>
      <color rgb="FFFFFFFF"/>
      <name val="Cambria"/>
      <charset val="1"/>
    </font>
    <font>
      <b/>
      <sz val="11"/>
      <color rgb="FF17365D"/>
      <name val="Cambria"/>
      <charset val="1"/>
    </font>
  </fonts>
  <fills count="8">
    <fill>
      <patternFill patternType="none"/>
    </fill>
    <fill>
      <patternFill patternType="gray125"/>
    </fill>
    <fill>
      <patternFill patternType="solid">
        <fgColor rgb="FF17365D"/>
        <bgColor rgb="FF333333"/>
      </patternFill>
    </fill>
    <fill>
      <patternFill patternType="solid">
        <fgColor rgb="FF1F4E78"/>
        <bgColor rgb="FF17365D"/>
      </patternFill>
    </fill>
    <fill>
      <patternFill patternType="solid">
        <fgColor rgb="FFFFFFFF"/>
        <bgColor rgb="FFF6F9FC"/>
      </patternFill>
    </fill>
    <fill>
      <patternFill patternType="solid">
        <fgColor rgb="FFF6F9FC"/>
        <bgColor rgb="FFFFFFFF"/>
      </patternFill>
    </fill>
    <fill>
      <patternFill patternType="solid">
        <fgColor rgb="FF0F6B78"/>
        <bgColor rgb="FF008080"/>
      </patternFill>
    </fill>
    <fill>
      <patternFill patternType="solid">
        <fgColor rgb="FFE2F0D9"/>
        <bgColor rgb="FFD9E2F3"/>
      </patternFill>
    </fill>
  </fills>
  <borders count="2">
    <border>
      <left/>
      <right/>
      <top/>
      <bottom/>
      <diagonal/>
    </border>
    <border>
      <left/>
      <right/>
      <top/>
      <bottom style="thin">
        <color rgb="FFD9E2F3"/>
      </bottom>
      <diagonal/>
    </border>
  </borders>
  <cellStyleXfs count="1">
    <xf numFmtId="0" fontId="0" fillId="0" borderId="0"/>
  </cellStyleXfs>
  <cellXfs count="16">
    <xf numFmtId="0" fontId="0" fillId="0" borderId="0" xfId="0"/>
    <xf numFmtId="0" fontId="3" fillId="3" borderId="0" xfId="0" applyFont="1" applyFill="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5" fillId="4" borderId="1" xfId="0" applyFont="1" applyFill="1" applyBorder="1" applyAlignment="1">
      <alignment vertical="top" wrapText="1"/>
    </xf>
    <xf numFmtId="164" fontId="0" fillId="4" borderId="1" xfId="0" applyNumberFormat="1" applyFill="1" applyBorder="1" applyAlignment="1">
      <alignment vertical="top" wrapText="1"/>
    </xf>
    <xf numFmtId="164" fontId="0" fillId="5" borderId="1" xfId="0" applyNumberFormat="1" applyFill="1" applyBorder="1" applyAlignment="1">
      <alignment vertical="top" wrapText="1"/>
    </xf>
    <xf numFmtId="0" fontId="3" fillId="3" borderId="0" xfId="0" applyFont="1" applyFill="1"/>
    <xf numFmtId="0" fontId="0" fillId="7" borderId="1" xfId="0" applyFill="1" applyBorder="1" applyAlignment="1">
      <alignment vertical="top" wrapText="1"/>
    </xf>
    <xf numFmtId="0" fontId="0" fillId="5" borderId="1" xfId="0" applyFill="1" applyBorder="1"/>
    <xf numFmtId="0" fontId="0" fillId="7" borderId="1" xfId="0" applyFill="1" applyBorder="1"/>
    <xf numFmtId="0" fontId="4" fillId="6" borderId="0" xfId="0" applyFont="1" applyFill="1" applyAlignment="1">
      <alignment vertical="center"/>
    </xf>
    <xf numFmtId="0" fontId="1" fillId="2" borderId="0" xfId="0" applyFont="1" applyFill="1" applyAlignment="1">
      <alignment vertical="center"/>
    </xf>
    <xf numFmtId="0" fontId="2" fillId="0" borderId="0" xfId="0" applyFont="1" applyAlignment="1">
      <alignment vertical="top" wrapText="1"/>
    </xf>
    <xf numFmtId="0" fontId="4" fillId="6" borderId="0" xfId="0" applyFont="1" applyFill="1" applyAlignment="1"/>
    <xf numFmtId="0" fontId="3" fillId="6" borderId="0" xfId="0" applyFont="1" applyFill="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B78"/>
      <rgbColor rgb="FFC0C0C0"/>
      <rgbColor rgb="FF808080"/>
      <rgbColor rgb="FF9999FF"/>
      <rgbColor rgb="FF993366"/>
      <rgbColor rgb="FFF6F9F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7365D"/>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showGridLines="0" zoomScaleNormal="100" workbookViewId="0">
      <pane ySplit="4" topLeftCell="C5" activePane="bottomLeft" state="frozen"/>
      <selection pane="bottomLeft"/>
    </sheetView>
  </sheetViews>
  <sheetFormatPr defaultColWidth="8.7109375" defaultRowHeight="15"/>
  <cols>
    <col min="1" max="1" width="10" customWidth="1"/>
    <col min="2" max="2" width="30" customWidth="1"/>
    <col min="3" max="3" width="76" customWidth="1"/>
    <col min="4" max="4" width="38" customWidth="1"/>
  </cols>
  <sheetData>
    <row r="1" spans="1:4" ht="27.75" customHeight="1">
      <c r="A1" s="12" t="s">
        <v>0</v>
      </c>
      <c r="B1" s="12"/>
      <c r="C1" s="12"/>
      <c r="D1" s="12"/>
    </row>
    <row r="2" spans="1:4" ht="33.75" customHeight="1">
      <c r="A2" s="13" t="s">
        <v>1</v>
      </c>
      <c r="B2" s="13"/>
      <c r="C2" s="13"/>
      <c r="D2" s="13"/>
    </row>
    <row r="4" spans="1:4" ht="15" customHeight="1">
      <c r="A4" s="1" t="s">
        <v>2</v>
      </c>
      <c r="B4" s="1" t="s">
        <v>3</v>
      </c>
      <c r="C4" s="1" t="s">
        <v>4</v>
      </c>
      <c r="D4" s="1" t="s">
        <v>5</v>
      </c>
    </row>
    <row r="5" spans="1:4" ht="42" customHeight="1">
      <c r="A5" s="2">
        <v>1</v>
      </c>
      <c r="B5" s="2" t="s">
        <v>6</v>
      </c>
      <c r="C5" s="2" t="s">
        <v>7</v>
      </c>
      <c r="D5" s="2" t="s">
        <v>8</v>
      </c>
    </row>
    <row r="6" spans="1:4" ht="42" customHeight="1">
      <c r="A6" s="3">
        <v>2</v>
      </c>
      <c r="B6" s="3" t="s">
        <v>9</v>
      </c>
      <c r="C6" s="3" t="s">
        <v>10</v>
      </c>
      <c r="D6" s="3" t="s">
        <v>8</v>
      </c>
    </row>
    <row r="7" spans="1:4" ht="42" customHeight="1">
      <c r="A7" s="2">
        <v>3</v>
      </c>
      <c r="B7" s="2" t="s">
        <v>11</v>
      </c>
      <c r="C7" s="2" t="s">
        <v>12</v>
      </c>
      <c r="D7" s="2" t="s">
        <v>8</v>
      </c>
    </row>
    <row r="8" spans="1:4" ht="42" customHeight="1">
      <c r="A8" s="3">
        <v>4</v>
      </c>
      <c r="B8" s="3" t="s">
        <v>13</v>
      </c>
      <c r="C8" s="3" t="s">
        <v>14</v>
      </c>
      <c r="D8" s="3" t="s">
        <v>8</v>
      </c>
    </row>
    <row r="9" spans="1:4" ht="42" customHeight="1">
      <c r="A9" s="2">
        <v>5</v>
      </c>
      <c r="B9" s="2" t="s">
        <v>15</v>
      </c>
      <c r="C9" s="2" t="s">
        <v>16</v>
      </c>
      <c r="D9" s="2" t="s">
        <v>8</v>
      </c>
    </row>
    <row r="10" spans="1:4" ht="42" customHeight="1">
      <c r="A10" s="3">
        <v>6</v>
      </c>
      <c r="B10" s="3" t="s">
        <v>17</v>
      </c>
      <c r="C10" s="3" t="s">
        <v>18</v>
      </c>
      <c r="D10" s="3" t="s">
        <v>8</v>
      </c>
    </row>
    <row r="11" spans="1:4" ht="42" customHeight="1">
      <c r="A11" s="2">
        <v>7</v>
      </c>
      <c r="B11" s="2" t="s">
        <v>19</v>
      </c>
      <c r="C11" s="2" t="s">
        <v>20</v>
      </c>
      <c r="D11" s="2" t="s">
        <v>8</v>
      </c>
    </row>
    <row r="12" spans="1:4" ht="42" customHeight="1">
      <c r="A12" s="3">
        <v>8</v>
      </c>
      <c r="B12" s="3" t="s">
        <v>21</v>
      </c>
      <c r="C12" s="3" t="s">
        <v>22</v>
      </c>
      <c r="D12" s="3" t="s">
        <v>8</v>
      </c>
    </row>
    <row r="13" spans="1:4" ht="42" customHeight="1">
      <c r="A13" s="2">
        <v>9</v>
      </c>
      <c r="B13" s="2" t="s">
        <v>23</v>
      </c>
      <c r="C13" s="2" t="s">
        <v>24</v>
      </c>
      <c r="D13" s="2" t="s">
        <v>8</v>
      </c>
    </row>
    <row r="14" spans="1:4" ht="42" customHeight="1">
      <c r="A14" s="3">
        <v>10</v>
      </c>
      <c r="B14" s="3" t="s">
        <v>25</v>
      </c>
      <c r="C14" s="3" t="s">
        <v>26</v>
      </c>
      <c r="D14" s="3" t="s">
        <v>8</v>
      </c>
    </row>
    <row r="15" spans="1:4" ht="42" customHeight="1">
      <c r="A15" s="2">
        <v>11</v>
      </c>
      <c r="B15" s="2" t="s">
        <v>27</v>
      </c>
      <c r="C15" s="2" t="s">
        <v>28</v>
      </c>
      <c r="D15" s="2" t="s">
        <v>8</v>
      </c>
    </row>
    <row r="16" spans="1:4" ht="42" customHeight="1">
      <c r="A16" s="3">
        <v>12</v>
      </c>
      <c r="B16" s="3" t="s">
        <v>29</v>
      </c>
      <c r="C16" s="3" t="s">
        <v>30</v>
      </c>
      <c r="D16" s="3" t="s">
        <v>31</v>
      </c>
    </row>
    <row r="17" spans="1:4" ht="42" customHeight="1">
      <c r="A17" s="2">
        <v>13</v>
      </c>
      <c r="B17" s="2" t="s">
        <v>32</v>
      </c>
      <c r="C17" s="2" t="s">
        <v>33</v>
      </c>
      <c r="D17" s="2" t="s">
        <v>31</v>
      </c>
    </row>
    <row r="18" spans="1:4" ht="42" customHeight="1">
      <c r="A18" s="3">
        <v>14</v>
      </c>
      <c r="B18" s="3" t="s">
        <v>34</v>
      </c>
      <c r="C18" s="3" t="s">
        <v>35</v>
      </c>
      <c r="D18" s="3" t="s">
        <v>31</v>
      </c>
    </row>
    <row r="19" spans="1:4" ht="42" customHeight="1">
      <c r="A19" s="2">
        <v>15</v>
      </c>
      <c r="B19" s="2" t="s">
        <v>36</v>
      </c>
      <c r="C19" s="2" t="s">
        <v>37</v>
      </c>
      <c r="D19" s="2" t="s">
        <v>8</v>
      </c>
    </row>
    <row r="20" spans="1:4" ht="42" customHeight="1">
      <c r="A20" s="3">
        <v>16</v>
      </c>
      <c r="B20" s="3" t="s">
        <v>38</v>
      </c>
      <c r="C20" s="3" t="s">
        <v>39</v>
      </c>
      <c r="D20" s="3" t="s">
        <v>8</v>
      </c>
    </row>
  </sheetData>
  <autoFilter ref="A4:D20" xr:uid="{00000000-0009-0000-0000-000000000000}"/>
  <mergeCells count="2">
    <mergeCell ref="A1:D1"/>
    <mergeCell ref="A2:D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3"/>
  <sheetViews>
    <sheetView showGridLines="0" zoomScaleNormal="100" workbookViewId="0">
      <pane ySplit="4" topLeftCell="A41" activePane="bottomLeft" state="frozen"/>
      <selection pane="bottomLeft" activeCell="B47" sqref="B47"/>
    </sheetView>
  </sheetViews>
  <sheetFormatPr defaultColWidth="8.7109375" defaultRowHeight="15"/>
  <cols>
    <col min="1" max="1" width="34" customWidth="1"/>
    <col min="2" max="2" width="95" customWidth="1"/>
    <col min="3" max="3" width="24" customWidth="1"/>
    <col min="4" max="4" width="38" customWidth="1"/>
  </cols>
  <sheetData>
    <row r="1" spans="1:8" ht="27.75" customHeight="1">
      <c r="A1" s="12" t="s">
        <v>6</v>
      </c>
      <c r="B1" s="12"/>
      <c r="C1" s="12"/>
      <c r="D1" s="12"/>
      <c r="E1" s="12"/>
      <c r="F1" s="12"/>
      <c r="G1" s="12"/>
      <c r="H1" s="12"/>
    </row>
    <row r="2" spans="1:8" ht="33.75" customHeight="1">
      <c r="A2" s="13" t="s">
        <v>7</v>
      </c>
      <c r="B2" s="13"/>
      <c r="C2" s="13"/>
      <c r="D2" s="13"/>
      <c r="E2" s="13"/>
      <c r="F2" s="13"/>
      <c r="G2" s="13"/>
      <c r="H2" s="13"/>
    </row>
    <row r="4" spans="1:8" ht="15" customHeight="1">
      <c r="A4" s="1" t="s">
        <v>40</v>
      </c>
      <c r="B4" s="1" t="s">
        <v>41</v>
      </c>
      <c r="C4" s="1" t="s">
        <v>42</v>
      </c>
      <c r="D4" s="1" t="s">
        <v>43</v>
      </c>
    </row>
    <row r="5" spans="1:8" ht="51.75" customHeight="1">
      <c r="A5" s="2" t="s">
        <v>44</v>
      </c>
      <c r="B5" s="2" t="s">
        <v>45</v>
      </c>
      <c r="C5" s="2" t="s">
        <v>46</v>
      </c>
      <c r="D5" s="2" t="s">
        <v>47</v>
      </c>
    </row>
    <row r="6" spans="1:8" ht="51.75" customHeight="1">
      <c r="A6" s="3" t="s">
        <v>48</v>
      </c>
      <c r="B6" s="3" t="s">
        <v>49</v>
      </c>
      <c r="C6" s="3" t="s">
        <v>46</v>
      </c>
      <c r="D6" s="3" t="s">
        <v>47</v>
      </c>
    </row>
    <row r="7" spans="1:8" ht="51.75" customHeight="1">
      <c r="A7" s="2" t="s">
        <v>50</v>
      </c>
      <c r="B7" s="2" t="s">
        <v>51</v>
      </c>
      <c r="C7" s="2" t="s">
        <v>46</v>
      </c>
      <c r="D7" s="2" t="s">
        <v>47</v>
      </c>
    </row>
    <row r="8" spans="1:8" ht="51.75" customHeight="1">
      <c r="A8" s="3" t="s">
        <v>52</v>
      </c>
      <c r="B8" s="3" t="s">
        <v>53</v>
      </c>
      <c r="C8" s="3" t="s">
        <v>46</v>
      </c>
      <c r="D8" s="3" t="s">
        <v>47</v>
      </c>
    </row>
    <row r="9" spans="1:8" ht="51.75" customHeight="1">
      <c r="A9" s="2" t="s">
        <v>54</v>
      </c>
      <c r="B9" s="2" t="s">
        <v>55</v>
      </c>
      <c r="C9" s="2" t="s">
        <v>46</v>
      </c>
      <c r="D9" s="2" t="s">
        <v>56</v>
      </c>
    </row>
    <row r="10" spans="1:8" ht="51.75" customHeight="1">
      <c r="A10" s="3" t="s">
        <v>54</v>
      </c>
      <c r="B10" s="3" t="s">
        <v>57</v>
      </c>
      <c r="C10" s="3" t="s">
        <v>46</v>
      </c>
      <c r="D10" s="3" t="s">
        <v>58</v>
      </c>
    </row>
    <row r="11" spans="1:8" ht="51.75" customHeight="1">
      <c r="A11" s="2" t="s">
        <v>59</v>
      </c>
      <c r="B11" s="2" t="s">
        <v>60</v>
      </c>
      <c r="C11" s="2" t="s">
        <v>46</v>
      </c>
      <c r="D11" s="2" t="s">
        <v>58</v>
      </c>
    </row>
    <row r="12" spans="1:8" ht="51.75" customHeight="1">
      <c r="A12" s="3" t="s">
        <v>61</v>
      </c>
      <c r="B12" s="3" t="s">
        <v>62</v>
      </c>
      <c r="C12" s="3" t="s">
        <v>46</v>
      </c>
      <c r="D12" s="3" t="s">
        <v>58</v>
      </c>
    </row>
    <row r="13" spans="1:8" ht="51.75" customHeight="1">
      <c r="A13" s="2" t="s">
        <v>63</v>
      </c>
      <c r="B13" s="2" t="s">
        <v>64</v>
      </c>
      <c r="C13" s="2" t="s">
        <v>65</v>
      </c>
      <c r="D13" s="2" t="s">
        <v>58</v>
      </c>
    </row>
    <row r="14" spans="1:8" ht="51.75" customHeight="1">
      <c r="A14" s="3" t="s">
        <v>66</v>
      </c>
      <c r="B14" s="3" t="s">
        <v>67</v>
      </c>
      <c r="C14" s="3" t="s">
        <v>46</v>
      </c>
      <c r="D14" s="3" t="s">
        <v>58</v>
      </c>
    </row>
    <row r="15" spans="1:8" ht="51.75" customHeight="1">
      <c r="A15" s="2" t="s">
        <v>68</v>
      </c>
      <c r="B15" s="2" t="s">
        <v>69</v>
      </c>
      <c r="C15" s="2" t="s">
        <v>46</v>
      </c>
      <c r="D15" s="2" t="s">
        <v>58</v>
      </c>
    </row>
    <row r="16" spans="1:8" ht="51.75" customHeight="1">
      <c r="A16" s="3" t="s">
        <v>70</v>
      </c>
      <c r="B16" s="3" t="s">
        <v>71</v>
      </c>
      <c r="C16" s="3" t="s">
        <v>46</v>
      </c>
      <c r="D16" s="3" t="s">
        <v>58</v>
      </c>
    </row>
    <row r="17" spans="1:4" ht="51.75" customHeight="1">
      <c r="A17" s="2" t="s">
        <v>72</v>
      </c>
      <c r="B17" s="2" t="s">
        <v>73</v>
      </c>
      <c r="C17" s="2" t="s">
        <v>46</v>
      </c>
      <c r="D17" s="2" t="s">
        <v>58</v>
      </c>
    </row>
    <row r="18" spans="1:4" ht="51.75" customHeight="1">
      <c r="A18" s="3" t="s">
        <v>74</v>
      </c>
      <c r="B18" s="3" t="s">
        <v>75</v>
      </c>
      <c r="C18" s="3" t="s">
        <v>46</v>
      </c>
      <c r="D18" s="3" t="s">
        <v>58</v>
      </c>
    </row>
    <row r="19" spans="1:4" ht="51.75" customHeight="1">
      <c r="A19" s="2" t="s">
        <v>76</v>
      </c>
      <c r="B19" s="2" t="s">
        <v>77</v>
      </c>
      <c r="C19" s="2" t="s">
        <v>46</v>
      </c>
      <c r="D19" s="2" t="s">
        <v>58</v>
      </c>
    </row>
    <row r="20" spans="1:4" ht="51.75" customHeight="1">
      <c r="A20" s="3" t="s">
        <v>78</v>
      </c>
      <c r="B20" s="3" t="s">
        <v>79</v>
      </c>
      <c r="C20" s="3" t="s">
        <v>80</v>
      </c>
      <c r="D20" s="3" t="s">
        <v>58</v>
      </c>
    </row>
    <row r="21" spans="1:4" ht="51.75" customHeight="1">
      <c r="A21" s="2" t="s">
        <v>81</v>
      </c>
      <c r="B21" s="2" t="s">
        <v>82</v>
      </c>
      <c r="C21" s="2" t="s">
        <v>83</v>
      </c>
      <c r="D21" s="2" t="s">
        <v>58</v>
      </c>
    </row>
    <row r="22" spans="1:4" ht="51.75" customHeight="1">
      <c r="A22" s="3" t="s">
        <v>84</v>
      </c>
      <c r="B22" s="3" t="s">
        <v>85</v>
      </c>
      <c r="C22" s="3" t="s">
        <v>46</v>
      </c>
      <c r="D22" s="3" t="s">
        <v>58</v>
      </c>
    </row>
    <row r="23" spans="1:4" ht="51.75" customHeight="1">
      <c r="A23" s="2" t="s">
        <v>86</v>
      </c>
      <c r="B23" s="2" t="s">
        <v>87</v>
      </c>
      <c r="C23" s="2" t="s">
        <v>46</v>
      </c>
      <c r="D23" s="2" t="s">
        <v>58</v>
      </c>
    </row>
    <row r="24" spans="1:4" ht="51.75" customHeight="1">
      <c r="A24" s="3" t="s">
        <v>88</v>
      </c>
      <c r="B24" s="3" t="s">
        <v>89</v>
      </c>
      <c r="C24" s="3" t="s">
        <v>46</v>
      </c>
      <c r="D24" s="3" t="s">
        <v>58</v>
      </c>
    </row>
    <row r="25" spans="1:4" ht="51.75" customHeight="1">
      <c r="A25" s="2" t="s">
        <v>90</v>
      </c>
      <c r="B25" s="2" t="s">
        <v>91</v>
      </c>
      <c r="C25" s="2" t="s">
        <v>92</v>
      </c>
      <c r="D25" s="2" t="s">
        <v>58</v>
      </c>
    </row>
    <row r="26" spans="1:4" ht="51.75" customHeight="1">
      <c r="A26" s="3" t="s">
        <v>93</v>
      </c>
      <c r="B26" s="3" t="s">
        <v>94</v>
      </c>
      <c r="C26" s="3" t="s">
        <v>95</v>
      </c>
      <c r="D26" s="3" t="s">
        <v>58</v>
      </c>
    </row>
    <row r="27" spans="1:4" ht="51.75" customHeight="1">
      <c r="A27" s="2" t="s">
        <v>96</v>
      </c>
      <c r="B27" s="2" t="s">
        <v>97</v>
      </c>
      <c r="C27" s="2" t="s">
        <v>98</v>
      </c>
      <c r="D27" s="2" t="s">
        <v>58</v>
      </c>
    </row>
    <row r="28" spans="1:4" ht="51.75" customHeight="1">
      <c r="A28" s="3" t="s">
        <v>99</v>
      </c>
      <c r="B28" s="3" t="s">
        <v>100</v>
      </c>
      <c r="C28" s="3" t="s">
        <v>46</v>
      </c>
      <c r="D28" s="3" t="s">
        <v>58</v>
      </c>
    </row>
    <row r="29" spans="1:4" ht="51.75" customHeight="1">
      <c r="A29" s="2" t="s">
        <v>101</v>
      </c>
      <c r="B29" s="2" t="s">
        <v>102</v>
      </c>
      <c r="C29" s="2" t="s">
        <v>46</v>
      </c>
      <c r="D29" s="2" t="s">
        <v>58</v>
      </c>
    </row>
    <row r="30" spans="1:4" ht="51.75" customHeight="1">
      <c r="A30" s="3" t="s">
        <v>103</v>
      </c>
      <c r="B30" s="3" t="s">
        <v>104</v>
      </c>
      <c r="C30" s="3" t="s">
        <v>46</v>
      </c>
      <c r="D30" s="3" t="s">
        <v>58</v>
      </c>
    </row>
    <row r="31" spans="1:4" ht="51.75" customHeight="1">
      <c r="A31" s="2" t="s">
        <v>105</v>
      </c>
      <c r="B31" s="2" t="s">
        <v>106</v>
      </c>
      <c r="C31" s="2" t="s">
        <v>46</v>
      </c>
      <c r="D31" s="2" t="s">
        <v>58</v>
      </c>
    </row>
    <row r="32" spans="1:4" ht="51.75" customHeight="1">
      <c r="A32" s="3" t="s">
        <v>107</v>
      </c>
      <c r="B32" s="3" t="s">
        <v>108</v>
      </c>
      <c r="C32" s="3" t="s">
        <v>46</v>
      </c>
      <c r="D32" s="3" t="s">
        <v>58</v>
      </c>
    </row>
    <row r="33" spans="1:4" ht="51.75" customHeight="1">
      <c r="A33" s="2" t="s">
        <v>109</v>
      </c>
      <c r="B33" s="2" t="s">
        <v>110</v>
      </c>
      <c r="C33" s="2" t="s">
        <v>46</v>
      </c>
      <c r="D33" s="2" t="s">
        <v>58</v>
      </c>
    </row>
    <row r="34" spans="1:4" ht="51.75" customHeight="1">
      <c r="A34" s="3" t="s">
        <v>111</v>
      </c>
      <c r="B34" s="3" t="s">
        <v>112</v>
      </c>
      <c r="C34" s="3" t="s">
        <v>46</v>
      </c>
      <c r="D34" s="3" t="s">
        <v>58</v>
      </c>
    </row>
    <row r="35" spans="1:4" ht="51.75" customHeight="1">
      <c r="A35" s="2" t="s">
        <v>113</v>
      </c>
      <c r="B35" s="2" t="s">
        <v>114</v>
      </c>
      <c r="C35" s="2" t="s">
        <v>46</v>
      </c>
      <c r="D35" s="2" t="s">
        <v>58</v>
      </c>
    </row>
    <row r="36" spans="1:4" ht="51.75" customHeight="1">
      <c r="A36" s="3" t="s">
        <v>115</v>
      </c>
      <c r="B36" s="3" t="s">
        <v>116</v>
      </c>
      <c r="C36" s="3" t="s">
        <v>46</v>
      </c>
      <c r="D36" s="3" t="s">
        <v>58</v>
      </c>
    </row>
    <row r="37" spans="1:4" ht="51.75" customHeight="1">
      <c r="A37" s="2" t="s">
        <v>117</v>
      </c>
      <c r="B37" s="2" t="s">
        <v>118</v>
      </c>
      <c r="C37" s="2" t="s">
        <v>46</v>
      </c>
      <c r="D37" s="2" t="s">
        <v>58</v>
      </c>
    </row>
    <row r="38" spans="1:4" ht="51.75" customHeight="1">
      <c r="A38" s="3" t="s">
        <v>119</v>
      </c>
      <c r="B38" s="3" t="s">
        <v>120</v>
      </c>
      <c r="C38" s="3" t="s">
        <v>121</v>
      </c>
      <c r="D38" s="3" t="s">
        <v>58</v>
      </c>
    </row>
    <row r="39" spans="1:4" ht="51.75" customHeight="1">
      <c r="A39" s="2" t="s">
        <v>122</v>
      </c>
      <c r="B39" s="2" t="s">
        <v>123</v>
      </c>
      <c r="C39" s="2" t="s">
        <v>124</v>
      </c>
      <c r="D39" s="2" t="s">
        <v>58</v>
      </c>
    </row>
    <row r="40" spans="1:4" ht="51.75" customHeight="1">
      <c r="A40" s="3" t="s">
        <v>125</v>
      </c>
      <c r="B40" s="3" t="s">
        <v>126</v>
      </c>
      <c r="C40" s="3" t="s">
        <v>46</v>
      </c>
      <c r="D40" s="3" t="s">
        <v>58</v>
      </c>
    </row>
    <row r="41" spans="1:4" ht="51.75" customHeight="1">
      <c r="A41" s="2" t="s">
        <v>127</v>
      </c>
      <c r="B41" s="2" t="s">
        <v>128</v>
      </c>
      <c r="C41" s="2" t="s">
        <v>46</v>
      </c>
      <c r="D41" s="2" t="s">
        <v>58</v>
      </c>
    </row>
    <row r="42" spans="1:4" ht="51.75" customHeight="1">
      <c r="A42" s="3" t="s">
        <v>129</v>
      </c>
      <c r="B42" s="3" t="s">
        <v>130</v>
      </c>
      <c r="C42" s="3" t="s">
        <v>46</v>
      </c>
      <c r="D42" s="3" t="s">
        <v>58</v>
      </c>
    </row>
    <row r="43" spans="1:4" ht="51.75" customHeight="1">
      <c r="A43" s="2" t="s">
        <v>131</v>
      </c>
      <c r="B43" s="2" t="s">
        <v>132</v>
      </c>
      <c r="C43" s="2" t="s">
        <v>46</v>
      </c>
      <c r="D43" s="2" t="s">
        <v>58</v>
      </c>
    </row>
    <row r="44" spans="1:4" ht="51.75" customHeight="1">
      <c r="A44" s="3" t="s">
        <v>133</v>
      </c>
      <c r="B44" s="3" t="s">
        <v>134</v>
      </c>
      <c r="C44" s="3" t="s">
        <v>46</v>
      </c>
      <c r="D44" s="3" t="s">
        <v>58</v>
      </c>
    </row>
    <row r="45" spans="1:4" ht="51.75" customHeight="1">
      <c r="A45" s="2" t="s">
        <v>135</v>
      </c>
      <c r="B45" s="2" t="s">
        <v>136</v>
      </c>
      <c r="C45" s="2" t="s">
        <v>46</v>
      </c>
      <c r="D45" s="2" t="s">
        <v>58</v>
      </c>
    </row>
    <row r="46" spans="1:4" ht="51.75" customHeight="1">
      <c r="A46" s="3" t="s">
        <v>137</v>
      </c>
      <c r="B46" s="3" t="s">
        <v>138</v>
      </c>
      <c r="C46" s="3" t="s">
        <v>46</v>
      </c>
      <c r="D46" s="3" t="s">
        <v>58</v>
      </c>
    </row>
    <row r="47" spans="1:4" ht="51.75" customHeight="1">
      <c r="A47" s="2" t="s">
        <v>139</v>
      </c>
      <c r="B47" s="2" t="s">
        <v>140</v>
      </c>
      <c r="C47" s="2" t="s">
        <v>46</v>
      </c>
      <c r="D47" s="2" t="s">
        <v>58</v>
      </c>
    </row>
    <row r="48" spans="1:4" ht="51.75" customHeight="1">
      <c r="A48" s="3" t="s">
        <v>141</v>
      </c>
      <c r="B48" s="3" t="s">
        <v>142</v>
      </c>
      <c r="C48" s="3" t="s">
        <v>46</v>
      </c>
      <c r="D48" s="3" t="s">
        <v>58</v>
      </c>
    </row>
    <row r="49" spans="1:4" ht="51.75" customHeight="1">
      <c r="A49" s="2" t="s">
        <v>143</v>
      </c>
      <c r="B49" s="2" t="s">
        <v>144</v>
      </c>
      <c r="C49" s="2" t="s">
        <v>46</v>
      </c>
      <c r="D49" s="2" t="s">
        <v>58</v>
      </c>
    </row>
    <row r="50" spans="1:4" ht="51.75" customHeight="1">
      <c r="A50" s="3" t="s">
        <v>145</v>
      </c>
      <c r="B50" s="3" t="s">
        <v>146</v>
      </c>
      <c r="C50" s="3" t="s">
        <v>147</v>
      </c>
      <c r="D50" s="3" t="s">
        <v>58</v>
      </c>
    </row>
    <row r="51" spans="1:4" ht="51.75" customHeight="1">
      <c r="A51" s="2" t="s">
        <v>148</v>
      </c>
      <c r="B51" s="2" t="s">
        <v>149</v>
      </c>
      <c r="C51" s="2" t="s">
        <v>150</v>
      </c>
      <c r="D51" s="2" t="s">
        <v>58</v>
      </c>
    </row>
    <row r="52" spans="1:4" ht="51.75" customHeight="1">
      <c r="A52" s="3" t="s">
        <v>151</v>
      </c>
      <c r="B52" s="3" t="s">
        <v>152</v>
      </c>
      <c r="C52" s="3" t="s">
        <v>153</v>
      </c>
      <c r="D52" s="3" t="s">
        <v>58</v>
      </c>
    </row>
    <row r="53" spans="1:4" ht="51.75" customHeight="1">
      <c r="A53" s="2" t="s">
        <v>154</v>
      </c>
      <c r="B53" s="2" t="s">
        <v>155</v>
      </c>
      <c r="C53" s="2" t="s">
        <v>156</v>
      </c>
      <c r="D53" s="2" t="s">
        <v>58</v>
      </c>
    </row>
    <row r="54" spans="1:4" ht="51.75" customHeight="1">
      <c r="A54" s="3" t="s">
        <v>157</v>
      </c>
      <c r="B54" s="3" t="s">
        <v>158</v>
      </c>
      <c r="C54" s="3" t="s">
        <v>156</v>
      </c>
      <c r="D54" s="3" t="s">
        <v>58</v>
      </c>
    </row>
    <row r="55" spans="1:4" ht="51.75" customHeight="1">
      <c r="A55" s="2" t="s">
        <v>159</v>
      </c>
      <c r="B55" s="2" t="s">
        <v>160</v>
      </c>
      <c r="C55" s="2" t="s">
        <v>46</v>
      </c>
      <c r="D55" s="2" t="s">
        <v>58</v>
      </c>
    </row>
    <row r="56" spans="1:4" ht="51.75" customHeight="1">
      <c r="A56" s="3" t="s">
        <v>161</v>
      </c>
      <c r="B56" s="3" t="s">
        <v>162</v>
      </c>
      <c r="C56" s="3" t="s">
        <v>46</v>
      </c>
      <c r="D56" s="3" t="s">
        <v>58</v>
      </c>
    </row>
    <row r="57" spans="1:4" ht="51.75" customHeight="1">
      <c r="A57" s="2" t="s">
        <v>163</v>
      </c>
      <c r="B57" s="2" t="s">
        <v>164</v>
      </c>
      <c r="C57" s="2" t="s">
        <v>46</v>
      </c>
      <c r="D57" s="2" t="s">
        <v>58</v>
      </c>
    </row>
    <row r="58" spans="1:4" ht="51.75" customHeight="1">
      <c r="A58" s="3" t="s">
        <v>165</v>
      </c>
      <c r="B58" s="3" t="s">
        <v>166</v>
      </c>
      <c r="C58" s="3" t="s">
        <v>156</v>
      </c>
      <c r="D58" s="3" t="s">
        <v>58</v>
      </c>
    </row>
    <row r="59" spans="1:4" ht="51.75" customHeight="1">
      <c r="A59" s="2" t="s">
        <v>167</v>
      </c>
      <c r="B59" s="2" t="s">
        <v>168</v>
      </c>
      <c r="C59" s="2" t="s">
        <v>46</v>
      </c>
      <c r="D59" s="2" t="s">
        <v>58</v>
      </c>
    </row>
    <row r="60" spans="1:4" ht="51.75" customHeight="1">
      <c r="A60" s="3" t="s">
        <v>169</v>
      </c>
      <c r="B60" s="3" t="s">
        <v>170</v>
      </c>
      <c r="C60" s="3" t="s">
        <v>156</v>
      </c>
      <c r="D60" s="3" t="s">
        <v>58</v>
      </c>
    </row>
    <row r="61" spans="1:4" ht="51.75" customHeight="1">
      <c r="A61" s="2" t="s">
        <v>171</v>
      </c>
      <c r="B61" s="2" t="s">
        <v>172</v>
      </c>
      <c r="C61" s="2" t="s">
        <v>46</v>
      </c>
      <c r="D61" s="2" t="s">
        <v>58</v>
      </c>
    </row>
    <row r="62" spans="1:4" ht="51.75" customHeight="1">
      <c r="A62" s="3" t="s">
        <v>173</v>
      </c>
      <c r="B62" s="3" t="s">
        <v>174</v>
      </c>
      <c r="C62" s="3" t="s">
        <v>156</v>
      </c>
      <c r="D62" s="3" t="s">
        <v>58</v>
      </c>
    </row>
    <row r="63" spans="1:4" ht="51.75" customHeight="1">
      <c r="A63" s="2" t="s">
        <v>175</v>
      </c>
      <c r="B63" s="2" t="s">
        <v>176</v>
      </c>
      <c r="C63" s="2" t="s">
        <v>46</v>
      </c>
      <c r="D63" s="2" t="s">
        <v>58</v>
      </c>
    </row>
    <row r="64" spans="1:4" ht="51.75" customHeight="1">
      <c r="A64" s="3" t="s">
        <v>177</v>
      </c>
      <c r="B64" s="3" t="s">
        <v>178</v>
      </c>
      <c r="C64" s="3" t="s">
        <v>46</v>
      </c>
      <c r="D64" s="3" t="s">
        <v>58</v>
      </c>
    </row>
    <row r="65" spans="1:4" ht="51.75" customHeight="1">
      <c r="A65" s="2" t="s">
        <v>179</v>
      </c>
      <c r="B65" s="2" t="s">
        <v>180</v>
      </c>
      <c r="C65" s="2" t="s">
        <v>46</v>
      </c>
      <c r="D65" s="2" t="s">
        <v>58</v>
      </c>
    </row>
    <row r="66" spans="1:4" ht="51.75" customHeight="1">
      <c r="A66" s="3" t="s">
        <v>181</v>
      </c>
      <c r="B66" s="3" t="s">
        <v>182</v>
      </c>
      <c r="C66" s="3" t="s">
        <v>46</v>
      </c>
      <c r="D66" s="3" t="s">
        <v>58</v>
      </c>
    </row>
    <row r="67" spans="1:4" ht="51.75" customHeight="1">
      <c r="A67" s="2" t="s">
        <v>183</v>
      </c>
      <c r="B67" s="2" t="s">
        <v>184</v>
      </c>
      <c r="C67" s="2" t="s">
        <v>46</v>
      </c>
      <c r="D67" s="2" t="s">
        <v>58</v>
      </c>
    </row>
    <row r="68" spans="1:4" ht="51.75" customHeight="1">
      <c r="A68" s="3" t="s">
        <v>185</v>
      </c>
      <c r="B68" s="3" t="s">
        <v>186</v>
      </c>
      <c r="C68" s="3" t="s">
        <v>46</v>
      </c>
      <c r="D68" s="3" t="s">
        <v>58</v>
      </c>
    </row>
    <row r="69" spans="1:4" ht="51.75" customHeight="1">
      <c r="A69" s="2" t="s">
        <v>187</v>
      </c>
      <c r="B69" s="2" t="s">
        <v>188</v>
      </c>
      <c r="C69" s="2" t="s">
        <v>46</v>
      </c>
      <c r="D69" s="2" t="s">
        <v>58</v>
      </c>
    </row>
    <row r="70" spans="1:4" ht="51.75" customHeight="1">
      <c r="A70" s="3" t="s">
        <v>189</v>
      </c>
      <c r="B70" s="3" t="s">
        <v>190</v>
      </c>
      <c r="C70" s="3" t="s">
        <v>46</v>
      </c>
      <c r="D70" s="3" t="s">
        <v>58</v>
      </c>
    </row>
    <row r="71" spans="1:4" ht="51.75" customHeight="1">
      <c r="A71" s="2" t="s">
        <v>191</v>
      </c>
      <c r="B71" s="2" t="s">
        <v>192</v>
      </c>
      <c r="C71" s="2" t="s">
        <v>193</v>
      </c>
      <c r="D71" s="2" t="s">
        <v>58</v>
      </c>
    </row>
    <row r="72" spans="1:4" ht="51.75" customHeight="1">
      <c r="A72" s="3" t="s">
        <v>194</v>
      </c>
      <c r="B72" s="3" t="s">
        <v>195</v>
      </c>
      <c r="C72" s="3" t="s">
        <v>46</v>
      </c>
      <c r="D72" s="3" t="s">
        <v>58</v>
      </c>
    </row>
    <row r="73" spans="1:4" ht="51.75" customHeight="1">
      <c r="A73" s="2" t="s">
        <v>196</v>
      </c>
      <c r="B73" s="2" t="s">
        <v>197</v>
      </c>
      <c r="C73" s="2" t="s">
        <v>153</v>
      </c>
      <c r="D73" s="2" t="s">
        <v>58</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9"/>
  <sheetViews>
    <sheetView showGridLines="0" zoomScaleNormal="100" workbookViewId="0">
      <pane ySplit="4" topLeftCell="A5" activePane="bottomLeft" state="frozen"/>
      <selection pane="bottomLeft"/>
    </sheetView>
  </sheetViews>
  <sheetFormatPr defaultColWidth="8.7109375" defaultRowHeight="15"/>
  <cols>
    <col min="1" max="1" width="30" customWidth="1"/>
    <col min="2" max="3" width="44" customWidth="1"/>
    <col min="4" max="4" width="24" customWidth="1"/>
  </cols>
  <sheetData>
    <row r="1" spans="1:8" ht="27.75" customHeight="1">
      <c r="A1" s="12" t="s">
        <v>9</v>
      </c>
      <c r="B1" s="12"/>
      <c r="C1" s="12"/>
      <c r="D1" s="12"/>
      <c r="E1" s="12"/>
      <c r="F1" s="12"/>
      <c r="G1" s="12"/>
      <c r="H1" s="12"/>
    </row>
    <row r="2" spans="1:8" ht="33.75" customHeight="1">
      <c r="A2" s="13" t="s">
        <v>10</v>
      </c>
      <c r="B2" s="13"/>
      <c r="C2" s="13"/>
      <c r="D2" s="13"/>
      <c r="E2" s="13"/>
      <c r="F2" s="13"/>
      <c r="G2" s="13"/>
      <c r="H2" s="13"/>
    </row>
    <row r="4" spans="1:8" ht="22.5" customHeight="1">
      <c r="A4" s="11" t="s">
        <v>198</v>
      </c>
      <c r="B4" s="11"/>
      <c r="C4" s="11"/>
      <c r="D4" s="11"/>
    </row>
    <row r="5" spans="1:8" ht="36" customHeight="1">
      <c r="A5" s="4" t="s">
        <v>199</v>
      </c>
    </row>
    <row r="6" spans="1:8" ht="36" customHeight="1">
      <c r="A6" s="3" t="s">
        <v>200</v>
      </c>
    </row>
    <row r="7" spans="1:8" ht="36" customHeight="1">
      <c r="A7" s="2" t="s">
        <v>201</v>
      </c>
      <c r="B7" s="2" t="s">
        <v>202</v>
      </c>
      <c r="C7" s="2" t="s">
        <v>203</v>
      </c>
      <c r="D7" s="2" t="s">
        <v>204</v>
      </c>
    </row>
    <row r="8" spans="1:8" ht="36" customHeight="1">
      <c r="A8" s="3" t="s">
        <v>205</v>
      </c>
      <c r="B8" s="3" t="s">
        <v>206</v>
      </c>
      <c r="C8" s="3" t="s">
        <v>207</v>
      </c>
      <c r="D8" s="3" t="s">
        <v>208</v>
      </c>
    </row>
    <row r="9" spans="1:8" ht="36" customHeight="1">
      <c r="A9" s="2" t="s">
        <v>209</v>
      </c>
      <c r="B9" s="2" t="s">
        <v>210</v>
      </c>
      <c r="C9" s="2" t="s">
        <v>211</v>
      </c>
      <c r="D9" s="2" t="s">
        <v>212</v>
      </c>
    </row>
    <row r="10" spans="1:8" ht="36" customHeight="1">
      <c r="A10" s="3" t="s">
        <v>213</v>
      </c>
      <c r="B10" s="3" t="s">
        <v>214</v>
      </c>
      <c r="C10" s="3" t="s">
        <v>215</v>
      </c>
      <c r="D10" s="3" t="s">
        <v>216</v>
      </c>
    </row>
    <row r="11" spans="1:8" ht="36" customHeight="1">
      <c r="A11" s="2" t="s">
        <v>217</v>
      </c>
      <c r="B11" s="2" t="s">
        <v>218</v>
      </c>
      <c r="C11" s="2" t="s">
        <v>219</v>
      </c>
      <c r="D11" s="2" t="s">
        <v>220</v>
      </c>
    </row>
    <row r="12" spans="1:8" ht="36" customHeight="1">
      <c r="A12" s="3" t="s">
        <v>221</v>
      </c>
      <c r="B12" s="3" t="s">
        <v>222</v>
      </c>
      <c r="C12" s="3" t="s">
        <v>223</v>
      </c>
      <c r="D12" s="3" t="s">
        <v>224</v>
      </c>
    </row>
    <row r="13" spans="1:8" ht="36" customHeight="1">
      <c r="A13" s="2" t="s">
        <v>225</v>
      </c>
      <c r="B13" s="2" t="s">
        <v>226</v>
      </c>
      <c r="C13" s="2" t="s">
        <v>227</v>
      </c>
      <c r="D13" s="2" t="s">
        <v>228</v>
      </c>
    </row>
    <row r="15" spans="1:8" ht="22.5" customHeight="1">
      <c r="A15" s="11" t="s">
        <v>229</v>
      </c>
      <c r="B15" s="11"/>
    </row>
    <row r="16" spans="1:8" ht="36" customHeight="1">
      <c r="A16" s="4" t="s">
        <v>230</v>
      </c>
    </row>
    <row r="17" spans="1:3" ht="36" customHeight="1">
      <c r="A17" s="3" t="s">
        <v>231</v>
      </c>
    </row>
    <row r="18" spans="1:3" ht="36" customHeight="1">
      <c r="A18" s="2" t="s">
        <v>40</v>
      </c>
      <c r="B18" s="2" t="s">
        <v>232</v>
      </c>
    </row>
    <row r="19" spans="1:3" ht="36" customHeight="1">
      <c r="A19" s="3" t="s">
        <v>233</v>
      </c>
      <c r="B19" s="3" t="s">
        <v>234</v>
      </c>
    </row>
    <row r="20" spans="1:3" ht="36" customHeight="1">
      <c r="A20" s="2" t="s">
        <v>235</v>
      </c>
      <c r="B20" s="2" t="s">
        <v>236</v>
      </c>
    </row>
    <row r="21" spans="1:3" ht="36" customHeight="1">
      <c r="A21" s="3" t="s">
        <v>237</v>
      </c>
      <c r="B21" s="3" t="s">
        <v>238</v>
      </c>
    </row>
    <row r="22" spans="1:3" ht="36" customHeight="1">
      <c r="A22" s="2" t="s">
        <v>239</v>
      </c>
      <c r="B22" s="2" t="s">
        <v>240</v>
      </c>
    </row>
    <row r="23" spans="1:3" ht="36" customHeight="1">
      <c r="A23" s="3" t="s">
        <v>241</v>
      </c>
      <c r="B23" s="3" t="s">
        <v>242</v>
      </c>
    </row>
    <row r="24" spans="1:3" ht="36" customHeight="1">
      <c r="A24" s="2" t="s">
        <v>243</v>
      </c>
      <c r="B24" s="2" t="s">
        <v>244</v>
      </c>
    </row>
    <row r="25" spans="1:3" ht="36" customHeight="1">
      <c r="A25" s="3" t="s">
        <v>245</v>
      </c>
      <c r="B25" s="3" t="s">
        <v>246</v>
      </c>
    </row>
    <row r="26" spans="1:3" ht="36" customHeight="1">
      <c r="A26" s="2" t="s">
        <v>247</v>
      </c>
      <c r="B26" s="2" t="s">
        <v>248</v>
      </c>
    </row>
    <row r="28" spans="1:3" ht="22.5" customHeight="1">
      <c r="A28" s="11" t="s">
        <v>249</v>
      </c>
      <c r="B28" s="11"/>
      <c r="C28" s="11"/>
    </row>
    <row r="29" spans="1:3" ht="36" customHeight="1">
      <c r="A29" s="4" t="s">
        <v>250</v>
      </c>
    </row>
    <row r="30" spans="1:3" ht="36" customHeight="1">
      <c r="A30" s="3" t="s">
        <v>251</v>
      </c>
    </row>
    <row r="31" spans="1:3" ht="36" customHeight="1">
      <c r="A31" s="2" t="s">
        <v>252</v>
      </c>
      <c r="B31" s="2" t="s">
        <v>253</v>
      </c>
      <c r="C31" s="2" t="s">
        <v>254</v>
      </c>
    </row>
    <row r="32" spans="1:3" ht="36" customHeight="1">
      <c r="A32" s="3" t="s">
        <v>255</v>
      </c>
      <c r="B32" s="3" t="s">
        <v>256</v>
      </c>
      <c r="C32" s="3" t="s">
        <v>257</v>
      </c>
    </row>
    <row r="33" spans="1:3" ht="36" customHeight="1">
      <c r="A33" s="2" t="s">
        <v>258</v>
      </c>
      <c r="B33" s="2" t="s">
        <v>256</v>
      </c>
      <c r="C33" s="2" t="s">
        <v>259</v>
      </c>
    </row>
    <row r="34" spans="1:3" ht="36" customHeight="1">
      <c r="A34" s="3" t="s">
        <v>260</v>
      </c>
      <c r="B34" s="3" t="s">
        <v>256</v>
      </c>
      <c r="C34" s="3" t="s">
        <v>261</v>
      </c>
    </row>
    <row r="35" spans="1:3" ht="36" customHeight="1">
      <c r="A35" s="2" t="s">
        <v>262</v>
      </c>
      <c r="B35" s="2" t="s">
        <v>256</v>
      </c>
      <c r="C35" s="2" t="s">
        <v>263</v>
      </c>
    </row>
    <row r="36" spans="1:3" ht="36" customHeight="1">
      <c r="A36" s="3" t="s">
        <v>59</v>
      </c>
      <c r="B36" s="3" t="s">
        <v>256</v>
      </c>
      <c r="C36" s="3" t="s">
        <v>264</v>
      </c>
    </row>
    <row r="37" spans="1:3" ht="36" customHeight="1">
      <c r="A37" s="2" t="s">
        <v>265</v>
      </c>
      <c r="B37" s="2" t="s">
        <v>256</v>
      </c>
      <c r="C37" s="2" t="s">
        <v>266</v>
      </c>
    </row>
    <row r="38" spans="1:3" ht="36" customHeight="1">
      <c r="A38" s="3" t="s">
        <v>267</v>
      </c>
      <c r="B38" s="3" t="s">
        <v>256</v>
      </c>
      <c r="C38" s="3" t="s">
        <v>268</v>
      </c>
    </row>
    <row r="39" spans="1:3" ht="36" customHeight="1">
      <c r="A39" s="2" t="s">
        <v>269</v>
      </c>
      <c r="B39" s="2" t="s">
        <v>270</v>
      </c>
      <c r="C39" s="2" t="s">
        <v>271</v>
      </c>
    </row>
    <row r="41" spans="1:3" ht="22.5" customHeight="1">
      <c r="A41" s="11" t="s">
        <v>272</v>
      </c>
      <c r="B41" s="11"/>
      <c r="C41" s="11"/>
    </row>
    <row r="42" spans="1:3" ht="36" customHeight="1">
      <c r="A42" s="4" t="s">
        <v>273</v>
      </c>
    </row>
    <row r="43" spans="1:3" ht="36" customHeight="1">
      <c r="A43" s="3" t="s">
        <v>274</v>
      </c>
    </row>
    <row r="44" spans="1:3" ht="36" customHeight="1">
      <c r="A44" s="2" t="s">
        <v>40</v>
      </c>
      <c r="B44" s="2" t="s">
        <v>275</v>
      </c>
      <c r="C44" s="2" t="s">
        <v>204</v>
      </c>
    </row>
    <row r="45" spans="1:3" ht="36" customHeight="1">
      <c r="A45" s="3" t="s">
        <v>276</v>
      </c>
      <c r="B45" s="3" t="s">
        <v>277</v>
      </c>
      <c r="C45" s="3" t="s">
        <v>278</v>
      </c>
    </row>
    <row r="46" spans="1:3" ht="36" customHeight="1">
      <c r="A46" s="2" t="s">
        <v>279</v>
      </c>
      <c r="B46" s="2" t="s">
        <v>280</v>
      </c>
      <c r="C46" s="2" t="s">
        <v>281</v>
      </c>
    </row>
    <row r="47" spans="1:3" ht="36" customHeight="1">
      <c r="A47" s="3" t="s">
        <v>282</v>
      </c>
      <c r="B47" s="3" t="s">
        <v>283</v>
      </c>
      <c r="C47" s="3" t="s">
        <v>284</v>
      </c>
    </row>
    <row r="48" spans="1:3" ht="36" customHeight="1">
      <c r="A48" s="2" t="s">
        <v>285</v>
      </c>
      <c r="B48" s="2" t="s">
        <v>286</v>
      </c>
      <c r="C48" s="2" t="s">
        <v>287</v>
      </c>
    </row>
    <row r="49" spans="1:3" ht="36" customHeight="1">
      <c r="A49" s="3" t="s">
        <v>288</v>
      </c>
      <c r="B49" s="3" t="s">
        <v>289</v>
      </c>
      <c r="C49" s="3" t="s">
        <v>290</v>
      </c>
    </row>
    <row r="50" spans="1:3" ht="36" customHeight="1">
      <c r="A50" s="2" t="s">
        <v>291</v>
      </c>
      <c r="B50" s="2" t="s">
        <v>292</v>
      </c>
      <c r="C50" s="2" t="s">
        <v>293</v>
      </c>
    </row>
    <row r="51" spans="1:3" ht="36" customHeight="1">
      <c r="A51" s="3" t="s">
        <v>294</v>
      </c>
      <c r="B51" s="3" t="s">
        <v>295</v>
      </c>
      <c r="C51" s="3" t="s">
        <v>296</v>
      </c>
    </row>
    <row r="52" spans="1:3" ht="36" customHeight="1">
      <c r="A52" s="2" t="s">
        <v>297</v>
      </c>
      <c r="B52" s="2" t="s">
        <v>298</v>
      </c>
      <c r="C52" s="2" t="s">
        <v>299</v>
      </c>
    </row>
    <row r="53" spans="1:3" ht="36" customHeight="1">
      <c r="A53" s="3" t="s">
        <v>300</v>
      </c>
      <c r="B53" s="3" t="s">
        <v>301</v>
      </c>
      <c r="C53" s="3" t="s">
        <v>302</v>
      </c>
    </row>
    <row r="54" spans="1:3" ht="36" customHeight="1">
      <c r="A54" s="2" t="s">
        <v>303</v>
      </c>
      <c r="B54" s="2" t="s">
        <v>304</v>
      </c>
      <c r="C54" s="2" t="s">
        <v>305</v>
      </c>
    </row>
    <row r="56" spans="1:3" ht="22.5" customHeight="1">
      <c r="A56" s="11" t="s">
        <v>306</v>
      </c>
      <c r="B56" s="11"/>
      <c r="C56" s="11"/>
    </row>
    <row r="57" spans="1:3" ht="36" customHeight="1">
      <c r="A57" s="4" t="s">
        <v>307</v>
      </c>
    </row>
    <row r="58" spans="1:3" ht="36" customHeight="1">
      <c r="A58" s="3" t="s">
        <v>308</v>
      </c>
    </row>
    <row r="59" spans="1:3" ht="36" customHeight="1">
      <c r="A59" s="2" t="s">
        <v>40</v>
      </c>
      <c r="B59" s="2" t="s">
        <v>232</v>
      </c>
      <c r="C59" s="2" t="s">
        <v>204</v>
      </c>
    </row>
    <row r="60" spans="1:3" ht="36" customHeight="1">
      <c r="A60" s="3" t="s">
        <v>309</v>
      </c>
      <c r="B60" s="3" t="s">
        <v>242</v>
      </c>
      <c r="C60" s="3" t="s">
        <v>310</v>
      </c>
    </row>
    <row r="61" spans="1:3" ht="36" customHeight="1">
      <c r="A61" s="2" t="s">
        <v>311</v>
      </c>
      <c r="B61" s="2" t="s">
        <v>312</v>
      </c>
      <c r="C61" s="2" t="s">
        <v>313</v>
      </c>
    </row>
    <row r="62" spans="1:3" ht="36" customHeight="1">
      <c r="A62" s="3" t="s">
        <v>314</v>
      </c>
      <c r="B62" s="3" t="s">
        <v>315</v>
      </c>
      <c r="C62" s="3" t="s">
        <v>316</v>
      </c>
    </row>
    <row r="63" spans="1:3" ht="36" customHeight="1">
      <c r="A63" s="2" t="s">
        <v>317</v>
      </c>
      <c r="B63" s="2" t="s">
        <v>315</v>
      </c>
      <c r="C63" s="2" t="s">
        <v>318</v>
      </c>
    </row>
    <row r="64" spans="1:3" ht="36" customHeight="1">
      <c r="A64" s="3" t="s">
        <v>319</v>
      </c>
      <c r="B64" s="3" t="s">
        <v>320</v>
      </c>
      <c r="C64" s="3" t="s">
        <v>321</v>
      </c>
    </row>
    <row r="65" spans="1:3" ht="36" customHeight="1">
      <c r="A65" s="2" t="s">
        <v>322</v>
      </c>
      <c r="B65" s="2" t="s">
        <v>323</v>
      </c>
      <c r="C65" s="2" t="s">
        <v>324</v>
      </c>
    </row>
    <row r="66" spans="1:3" ht="36" customHeight="1">
      <c r="A66" s="3" t="s">
        <v>325</v>
      </c>
      <c r="B66" s="3" t="s">
        <v>326</v>
      </c>
      <c r="C66" s="3" t="s">
        <v>327</v>
      </c>
    </row>
    <row r="67" spans="1:3" ht="36" customHeight="1">
      <c r="A67" s="2" t="s">
        <v>328</v>
      </c>
      <c r="B67" s="2" t="s">
        <v>329</v>
      </c>
      <c r="C67" s="2" t="s">
        <v>330</v>
      </c>
    </row>
    <row r="68" spans="1:3" ht="36" customHeight="1">
      <c r="A68" s="3" t="s">
        <v>331</v>
      </c>
      <c r="B68" s="3" t="s">
        <v>332</v>
      </c>
      <c r="C68" s="3" t="s">
        <v>333</v>
      </c>
    </row>
    <row r="69" spans="1:3" ht="36" customHeight="1">
      <c r="A69" s="2" t="s">
        <v>334</v>
      </c>
      <c r="B69" s="2" t="s">
        <v>335</v>
      </c>
      <c r="C69" s="2" t="s">
        <v>336</v>
      </c>
    </row>
  </sheetData>
  <mergeCells count="7">
    <mergeCell ref="A41:C41"/>
    <mergeCell ref="A56:C56"/>
    <mergeCell ref="A1:H1"/>
    <mergeCell ref="A2:H2"/>
    <mergeCell ref="A4:D4"/>
    <mergeCell ref="A15:B15"/>
    <mergeCell ref="A28:C2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8"/>
  <sheetViews>
    <sheetView showGridLines="0" zoomScaleNormal="100" workbookViewId="0">
      <pane ySplit="4" topLeftCell="A5" activePane="bottomLeft" state="frozen"/>
      <selection pane="bottomLeft"/>
    </sheetView>
  </sheetViews>
  <sheetFormatPr defaultColWidth="8.7109375" defaultRowHeight="15"/>
  <cols>
    <col min="1" max="1" width="30" customWidth="1"/>
    <col min="2" max="3" width="44" customWidth="1"/>
  </cols>
  <sheetData>
    <row r="1" spans="1:8" ht="27.75" customHeight="1">
      <c r="A1" s="12" t="s">
        <v>11</v>
      </c>
      <c r="B1" s="12"/>
      <c r="C1" s="12"/>
      <c r="D1" s="12"/>
      <c r="E1" s="12"/>
      <c r="F1" s="12"/>
      <c r="G1" s="12"/>
      <c r="H1" s="12"/>
    </row>
    <row r="2" spans="1:8" ht="33.75" customHeight="1">
      <c r="A2" s="13" t="s">
        <v>12</v>
      </c>
      <c r="B2" s="13"/>
      <c r="C2" s="13"/>
      <c r="D2" s="13"/>
      <c r="E2" s="13"/>
      <c r="F2" s="13"/>
      <c r="G2" s="13"/>
      <c r="H2" s="13"/>
    </row>
    <row r="4" spans="1:8" ht="22.5" customHeight="1">
      <c r="A4" s="11" t="s">
        <v>337</v>
      </c>
      <c r="B4" s="11"/>
      <c r="C4" s="11"/>
    </row>
    <row r="5" spans="1:8" ht="36" customHeight="1">
      <c r="A5" s="4" t="s">
        <v>338</v>
      </c>
    </row>
    <row r="6" spans="1:8" ht="36" customHeight="1">
      <c r="A6" s="3" t="s">
        <v>339</v>
      </c>
    </row>
    <row r="7" spans="1:8" ht="36" customHeight="1">
      <c r="A7" s="2" t="s">
        <v>40</v>
      </c>
      <c r="B7" s="2" t="s">
        <v>275</v>
      </c>
      <c r="C7" s="2" t="s">
        <v>204</v>
      </c>
    </row>
    <row r="8" spans="1:8" ht="36" customHeight="1">
      <c r="A8" s="3" t="s">
        <v>340</v>
      </c>
      <c r="B8" s="3" t="s">
        <v>341</v>
      </c>
      <c r="C8" s="3" t="s">
        <v>342</v>
      </c>
    </row>
    <row r="9" spans="1:8" ht="36" customHeight="1">
      <c r="A9" s="2" t="s">
        <v>343</v>
      </c>
      <c r="B9" s="2" t="s">
        <v>344</v>
      </c>
      <c r="C9" s="2" t="s">
        <v>345</v>
      </c>
    </row>
    <row r="10" spans="1:8" ht="36" customHeight="1">
      <c r="A10" s="3" t="s">
        <v>346</v>
      </c>
      <c r="B10" s="3" t="s">
        <v>347</v>
      </c>
      <c r="C10" s="3" t="s">
        <v>348</v>
      </c>
    </row>
    <row r="11" spans="1:8" ht="36" customHeight="1">
      <c r="A11" s="2" t="s">
        <v>349</v>
      </c>
      <c r="B11" s="2" t="s">
        <v>350</v>
      </c>
      <c r="C11" s="2" t="s">
        <v>351</v>
      </c>
    </row>
    <row r="12" spans="1:8" ht="36" customHeight="1">
      <c r="A12" s="3" t="s">
        <v>352</v>
      </c>
      <c r="B12" s="3" t="s">
        <v>353</v>
      </c>
      <c r="C12" s="3" t="s">
        <v>354</v>
      </c>
    </row>
    <row r="13" spans="1:8" ht="36" customHeight="1">
      <c r="A13" s="2" t="s">
        <v>355</v>
      </c>
      <c r="B13" s="2" t="s">
        <v>356</v>
      </c>
      <c r="C13" s="2" t="s">
        <v>357</v>
      </c>
    </row>
    <row r="14" spans="1:8" ht="36" customHeight="1">
      <c r="A14" s="3" t="s">
        <v>358</v>
      </c>
      <c r="B14" s="3" t="s">
        <v>359</v>
      </c>
      <c r="C14" s="3" t="s">
        <v>360</v>
      </c>
    </row>
    <row r="16" spans="1:8" ht="22.5" customHeight="1">
      <c r="A16" s="11" t="s">
        <v>361</v>
      </c>
      <c r="B16" s="11"/>
      <c r="C16" s="11"/>
    </row>
    <row r="17" spans="1:3" ht="36" customHeight="1">
      <c r="A17" s="4" t="s">
        <v>362</v>
      </c>
    </row>
    <row r="18" spans="1:3" ht="36" customHeight="1">
      <c r="A18" s="3" t="s">
        <v>363</v>
      </c>
    </row>
    <row r="19" spans="1:3" ht="36" customHeight="1">
      <c r="A19" s="2" t="s">
        <v>40</v>
      </c>
      <c r="B19" s="2" t="s">
        <v>275</v>
      </c>
      <c r="C19" s="2" t="s">
        <v>204</v>
      </c>
    </row>
    <row r="20" spans="1:3" ht="36" customHeight="1">
      <c r="A20" s="3" t="s">
        <v>364</v>
      </c>
      <c r="B20" s="3" t="s">
        <v>365</v>
      </c>
      <c r="C20" s="3" t="s">
        <v>366</v>
      </c>
    </row>
    <row r="21" spans="1:3" ht="36" customHeight="1">
      <c r="A21" s="2" t="s">
        <v>367</v>
      </c>
      <c r="B21" s="2" t="s">
        <v>368</v>
      </c>
      <c r="C21" s="2" t="s">
        <v>369</v>
      </c>
    </row>
    <row r="22" spans="1:3" ht="36" customHeight="1">
      <c r="A22" s="3" t="s">
        <v>370</v>
      </c>
      <c r="B22" s="3" t="s">
        <v>371</v>
      </c>
      <c r="C22" s="3" t="s">
        <v>372</v>
      </c>
    </row>
    <row r="23" spans="1:3" ht="36" customHeight="1">
      <c r="A23" s="2" t="s">
        <v>373</v>
      </c>
      <c r="B23" s="2" t="s">
        <v>374</v>
      </c>
      <c r="C23" s="2" t="s">
        <v>375</v>
      </c>
    </row>
    <row r="24" spans="1:3" ht="36" customHeight="1">
      <c r="A24" s="3" t="s">
        <v>376</v>
      </c>
      <c r="B24" s="3" t="s">
        <v>377</v>
      </c>
      <c r="C24" s="3" t="s">
        <v>378</v>
      </c>
    </row>
    <row r="25" spans="1:3" ht="36" customHeight="1">
      <c r="A25" s="2" t="s">
        <v>379</v>
      </c>
      <c r="B25" s="2" t="s">
        <v>380</v>
      </c>
      <c r="C25" s="2" t="s">
        <v>381</v>
      </c>
    </row>
    <row r="26" spans="1:3" ht="36" customHeight="1">
      <c r="A26" s="3" t="s">
        <v>382</v>
      </c>
      <c r="B26" s="3" t="s">
        <v>383</v>
      </c>
      <c r="C26" s="3" t="s">
        <v>384</v>
      </c>
    </row>
    <row r="27" spans="1:3" ht="36" customHeight="1">
      <c r="A27" s="2" t="s">
        <v>385</v>
      </c>
      <c r="B27" s="2" t="s">
        <v>386</v>
      </c>
      <c r="C27" s="2" t="s">
        <v>387</v>
      </c>
    </row>
    <row r="29" spans="1:3" ht="22.5" customHeight="1">
      <c r="A29" s="11" t="s">
        <v>388</v>
      </c>
      <c r="B29" s="11"/>
      <c r="C29" s="11"/>
    </row>
    <row r="30" spans="1:3" ht="36" customHeight="1">
      <c r="A30" s="4" t="s">
        <v>389</v>
      </c>
    </row>
    <row r="31" spans="1:3" ht="36" customHeight="1">
      <c r="A31" s="3" t="s">
        <v>390</v>
      </c>
    </row>
    <row r="32" spans="1:3" ht="36" customHeight="1">
      <c r="A32" s="2" t="s">
        <v>40</v>
      </c>
      <c r="B32" s="2" t="s">
        <v>232</v>
      </c>
      <c r="C32" s="2" t="s">
        <v>204</v>
      </c>
    </row>
    <row r="33" spans="1:3" ht="36" customHeight="1">
      <c r="A33" s="3" t="s">
        <v>391</v>
      </c>
      <c r="B33" s="3" t="s">
        <v>392</v>
      </c>
      <c r="C33" s="3" t="s">
        <v>393</v>
      </c>
    </row>
    <row r="34" spans="1:3" ht="36" customHeight="1">
      <c r="A34" s="2" t="s">
        <v>394</v>
      </c>
      <c r="B34" s="2" t="s">
        <v>395</v>
      </c>
      <c r="C34" s="2" t="s">
        <v>396</v>
      </c>
    </row>
    <row r="35" spans="1:3" ht="36" customHeight="1">
      <c r="A35" s="3" t="s">
        <v>397</v>
      </c>
      <c r="B35" s="3" t="s">
        <v>398</v>
      </c>
      <c r="C35" s="3" t="s">
        <v>399</v>
      </c>
    </row>
    <row r="36" spans="1:3" ht="36" customHeight="1">
      <c r="A36" s="2" t="s">
        <v>400</v>
      </c>
      <c r="B36" s="2" t="s">
        <v>401</v>
      </c>
      <c r="C36" s="2" t="s">
        <v>402</v>
      </c>
    </row>
    <row r="37" spans="1:3" ht="36" customHeight="1">
      <c r="A37" s="3" t="s">
        <v>403</v>
      </c>
      <c r="B37" s="3" t="s">
        <v>404</v>
      </c>
      <c r="C37" s="3" t="s">
        <v>405</v>
      </c>
    </row>
    <row r="38" spans="1:3" ht="36" customHeight="1">
      <c r="A38" s="2" t="s">
        <v>406</v>
      </c>
      <c r="B38" s="2" t="s">
        <v>407</v>
      </c>
      <c r="C38" s="2" t="s">
        <v>408</v>
      </c>
    </row>
    <row r="39" spans="1:3" ht="36" customHeight="1">
      <c r="A39" s="3" t="s">
        <v>409</v>
      </c>
      <c r="B39" s="3" t="s">
        <v>410</v>
      </c>
      <c r="C39" s="3" t="s">
        <v>411</v>
      </c>
    </row>
    <row r="40" spans="1:3" ht="36" customHeight="1">
      <c r="A40" s="2" t="s">
        <v>412</v>
      </c>
      <c r="B40" s="2" t="s">
        <v>413</v>
      </c>
      <c r="C40" s="2" t="s">
        <v>414</v>
      </c>
    </row>
    <row r="41" spans="1:3" ht="36" customHeight="1">
      <c r="A41" s="3" t="s">
        <v>415</v>
      </c>
      <c r="B41" s="3" t="s">
        <v>416</v>
      </c>
      <c r="C41" s="3" t="s">
        <v>417</v>
      </c>
    </row>
    <row r="42" spans="1:3" ht="36" customHeight="1">
      <c r="A42" s="2" t="s">
        <v>418</v>
      </c>
      <c r="B42" s="2" t="s">
        <v>419</v>
      </c>
      <c r="C42" s="2" t="s">
        <v>420</v>
      </c>
    </row>
    <row r="43" spans="1:3" ht="36" customHeight="1">
      <c r="A43" s="3" t="s">
        <v>421</v>
      </c>
      <c r="B43" s="3" t="s">
        <v>422</v>
      </c>
      <c r="C43" s="3" t="s">
        <v>423</v>
      </c>
    </row>
    <row r="44" spans="1:3" ht="36" customHeight="1">
      <c r="A44" s="2" t="s">
        <v>424</v>
      </c>
      <c r="B44" s="2" t="s">
        <v>425</v>
      </c>
      <c r="C44" s="2" t="s">
        <v>426</v>
      </c>
    </row>
    <row r="45" spans="1:3" ht="36" customHeight="1">
      <c r="A45" s="3" t="s">
        <v>427</v>
      </c>
      <c r="B45" s="3" t="s">
        <v>428</v>
      </c>
      <c r="C45" s="3" t="s">
        <v>429</v>
      </c>
    </row>
    <row r="46" spans="1:3" ht="36" customHeight="1">
      <c r="A46" s="2" t="s">
        <v>430</v>
      </c>
      <c r="B46" s="2" t="s">
        <v>431</v>
      </c>
      <c r="C46" s="2" t="s">
        <v>432</v>
      </c>
    </row>
    <row r="47" spans="1:3" ht="36" customHeight="1">
      <c r="A47" s="3" t="s">
        <v>433</v>
      </c>
      <c r="B47" s="3" t="s">
        <v>434</v>
      </c>
      <c r="C47" s="3" t="s">
        <v>435</v>
      </c>
    </row>
    <row r="48" spans="1:3" ht="36" customHeight="1">
      <c r="A48" s="2" t="s">
        <v>436</v>
      </c>
      <c r="B48" s="2" t="s">
        <v>437</v>
      </c>
      <c r="C48" s="2" t="s">
        <v>438</v>
      </c>
    </row>
    <row r="50" spans="1:3" ht="22.5" customHeight="1">
      <c r="A50" s="11" t="s">
        <v>439</v>
      </c>
      <c r="B50" s="11"/>
      <c r="C50" s="11"/>
    </row>
    <row r="51" spans="1:3" ht="36" customHeight="1">
      <c r="A51" s="4" t="s">
        <v>440</v>
      </c>
    </row>
    <row r="52" spans="1:3" ht="36" customHeight="1">
      <c r="A52" s="3" t="s">
        <v>441</v>
      </c>
    </row>
    <row r="53" spans="1:3" ht="36" customHeight="1">
      <c r="A53" s="2" t="s">
        <v>40</v>
      </c>
      <c r="B53" s="2" t="s">
        <v>232</v>
      </c>
      <c r="C53" s="2" t="s">
        <v>204</v>
      </c>
    </row>
    <row r="54" spans="1:3" ht="36" customHeight="1">
      <c r="A54" s="3" t="s">
        <v>442</v>
      </c>
      <c r="B54" s="3" t="s">
        <v>443</v>
      </c>
      <c r="C54" s="3" t="s">
        <v>444</v>
      </c>
    </row>
    <row r="55" spans="1:3" ht="36" customHeight="1">
      <c r="A55" s="2" t="s">
        <v>445</v>
      </c>
      <c r="B55" s="2" t="s">
        <v>446</v>
      </c>
      <c r="C55" s="2" t="s">
        <v>447</v>
      </c>
    </row>
    <row r="56" spans="1:3" ht="36" customHeight="1">
      <c r="A56" s="3" t="s">
        <v>448</v>
      </c>
      <c r="B56" s="3" t="s">
        <v>449</v>
      </c>
      <c r="C56" s="3" t="s">
        <v>450</v>
      </c>
    </row>
    <row r="57" spans="1:3" ht="36" customHeight="1">
      <c r="A57" s="2" t="s">
        <v>451</v>
      </c>
      <c r="B57" s="2" t="s">
        <v>452</v>
      </c>
      <c r="C57" s="2" t="s">
        <v>453</v>
      </c>
    </row>
    <row r="58" spans="1:3" ht="36" customHeight="1">
      <c r="A58" s="3" t="s">
        <v>454</v>
      </c>
      <c r="B58" s="3" t="s">
        <v>455</v>
      </c>
      <c r="C58" s="3" t="s">
        <v>456</v>
      </c>
    </row>
    <row r="59" spans="1:3" ht="36" customHeight="1">
      <c r="A59" s="2" t="s">
        <v>457</v>
      </c>
      <c r="B59" s="2" t="s">
        <v>458</v>
      </c>
      <c r="C59" s="2" t="s">
        <v>459</v>
      </c>
    </row>
    <row r="60" spans="1:3" ht="36" customHeight="1">
      <c r="A60" s="3" t="s">
        <v>460</v>
      </c>
      <c r="B60" s="3" t="s">
        <v>461</v>
      </c>
      <c r="C60" s="3" t="s">
        <v>462</v>
      </c>
    </row>
    <row r="61" spans="1:3" ht="36" customHeight="1">
      <c r="A61" s="2" t="s">
        <v>463</v>
      </c>
      <c r="B61" s="2" t="s">
        <v>464</v>
      </c>
      <c r="C61" s="2" t="s">
        <v>465</v>
      </c>
    </row>
    <row r="62" spans="1:3" ht="36" customHeight="1">
      <c r="A62" s="3" t="s">
        <v>466</v>
      </c>
      <c r="B62" s="3" t="s">
        <v>467</v>
      </c>
      <c r="C62" s="3" t="s">
        <v>468</v>
      </c>
    </row>
    <row r="63" spans="1:3" ht="36" customHeight="1">
      <c r="A63" s="2" t="s">
        <v>469</v>
      </c>
      <c r="B63" s="2" t="s">
        <v>470</v>
      </c>
      <c r="C63" s="2" t="s">
        <v>471</v>
      </c>
    </row>
    <row r="64" spans="1:3" ht="36" customHeight="1">
      <c r="A64" s="3" t="s">
        <v>472</v>
      </c>
      <c r="B64" s="3" t="s">
        <v>473</v>
      </c>
      <c r="C64" s="3" t="s">
        <v>474</v>
      </c>
    </row>
    <row r="65" spans="1:3" ht="36" customHeight="1">
      <c r="A65" s="2" t="s">
        <v>475</v>
      </c>
      <c r="B65" s="2" t="s">
        <v>476</v>
      </c>
      <c r="C65" s="2" t="s">
        <v>477</v>
      </c>
    </row>
    <row r="66" spans="1:3" ht="36" customHeight="1">
      <c r="A66" s="3" t="s">
        <v>478</v>
      </c>
      <c r="B66" s="3" t="s">
        <v>479</v>
      </c>
      <c r="C66" s="3" t="s">
        <v>480</v>
      </c>
    </row>
    <row r="67" spans="1:3" ht="36" customHeight="1">
      <c r="A67" s="2" t="s">
        <v>481</v>
      </c>
      <c r="B67" s="2" t="s">
        <v>482</v>
      </c>
      <c r="C67" s="2" t="s">
        <v>483</v>
      </c>
    </row>
    <row r="68" spans="1:3" ht="36" customHeight="1">
      <c r="A68" s="3" t="s">
        <v>484</v>
      </c>
      <c r="B68" s="3" t="s">
        <v>485</v>
      </c>
      <c r="C68" s="3" t="s">
        <v>486</v>
      </c>
    </row>
    <row r="69" spans="1:3" ht="36" customHeight="1">
      <c r="A69" s="2" t="s">
        <v>487</v>
      </c>
      <c r="B69" s="2" t="s">
        <v>488</v>
      </c>
      <c r="C69" s="2" t="s">
        <v>489</v>
      </c>
    </row>
    <row r="71" spans="1:3" ht="22.5" customHeight="1">
      <c r="A71" s="11" t="s">
        <v>490</v>
      </c>
      <c r="B71" s="11"/>
      <c r="C71" s="11"/>
    </row>
    <row r="72" spans="1:3" ht="36" customHeight="1">
      <c r="A72" s="4" t="s">
        <v>491</v>
      </c>
    </row>
    <row r="73" spans="1:3" ht="36" customHeight="1">
      <c r="A73" s="3" t="s">
        <v>492</v>
      </c>
    </row>
    <row r="74" spans="1:3" ht="36" customHeight="1">
      <c r="A74" s="2" t="s">
        <v>40</v>
      </c>
      <c r="B74" s="2" t="s">
        <v>232</v>
      </c>
      <c r="C74" s="2" t="s">
        <v>204</v>
      </c>
    </row>
    <row r="75" spans="1:3" ht="36" customHeight="1">
      <c r="A75" s="3" t="s">
        <v>493</v>
      </c>
      <c r="B75" s="3" t="s">
        <v>494</v>
      </c>
      <c r="C75" s="3" t="s">
        <v>495</v>
      </c>
    </row>
    <row r="76" spans="1:3" ht="36" customHeight="1">
      <c r="A76" s="2" t="s">
        <v>496</v>
      </c>
      <c r="B76" s="2" t="s">
        <v>497</v>
      </c>
      <c r="C76" s="2" t="s">
        <v>498</v>
      </c>
    </row>
    <row r="77" spans="1:3" ht="36" customHeight="1">
      <c r="A77" s="3" t="s">
        <v>499</v>
      </c>
      <c r="B77" s="3" t="s">
        <v>500</v>
      </c>
      <c r="C77" s="3" t="s">
        <v>501</v>
      </c>
    </row>
    <row r="78" spans="1:3" ht="36" customHeight="1">
      <c r="A78" s="2" t="s">
        <v>502</v>
      </c>
      <c r="B78" s="2" t="s">
        <v>503</v>
      </c>
      <c r="C78" s="2" t="s">
        <v>504</v>
      </c>
    </row>
    <row r="79" spans="1:3" ht="36" customHeight="1">
      <c r="A79" s="3" t="s">
        <v>505</v>
      </c>
      <c r="B79" s="3" t="s">
        <v>506</v>
      </c>
      <c r="C79" s="3" t="s">
        <v>507</v>
      </c>
    </row>
    <row r="80" spans="1:3" ht="36" customHeight="1">
      <c r="A80" s="2" t="s">
        <v>508</v>
      </c>
      <c r="B80" s="2" t="s">
        <v>509</v>
      </c>
      <c r="C80" s="2" t="s">
        <v>510</v>
      </c>
    </row>
    <row r="81" spans="1:3" ht="36" customHeight="1">
      <c r="A81" s="3" t="s">
        <v>511</v>
      </c>
      <c r="B81" s="3" t="s">
        <v>512</v>
      </c>
      <c r="C81" s="3" t="s">
        <v>513</v>
      </c>
    </row>
    <row r="82" spans="1:3" ht="36" customHeight="1">
      <c r="A82" s="2" t="s">
        <v>514</v>
      </c>
      <c r="B82" s="2" t="s">
        <v>515</v>
      </c>
      <c r="C82" s="2" t="s">
        <v>516</v>
      </c>
    </row>
    <row r="83" spans="1:3" ht="36" customHeight="1">
      <c r="A83" s="3" t="s">
        <v>517</v>
      </c>
      <c r="B83" s="3" t="s">
        <v>518</v>
      </c>
      <c r="C83" s="3" t="s">
        <v>519</v>
      </c>
    </row>
    <row r="84" spans="1:3" ht="36" customHeight="1">
      <c r="A84" s="2" t="s">
        <v>520</v>
      </c>
      <c r="B84" s="2" t="s">
        <v>521</v>
      </c>
      <c r="C84" s="2" t="s">
        <v>522</v>
      </c>
    </row>
    <row r="85" spans="1:3" ht="36" customHeight="1">
      <c r="A85" s="3" t="s">
        <v>523</v>
      </c>
      <c r="B85" s="3" t="s">
        <v>524</v>
      </c>
      <c r="C85" s="3" t="s">
        <v>525</v>
      </c>
    </row>
    <row r="86" spans="1:3" ht="36" customHeight="1">
      <c r="A86" s="2" t="s">
        <v>526</v>
      </c>
      <c r="B86" s="2" t="s">
        <v>527</v>
      </c>
      <c r="C86" s="2" t="s">
        <v>528</v>
      </c>
    </row>
    <row r="87" spans="1:3" ht="36" customHeight="1">
      <c r="A87" s="3" t="s">
        <v>529</v>
      </c>
      <c r="B87" s="3" t="s">
        <v>530</v>
      </c>
      <c r="C87" s="3" t="s">
        <v>531</v>
      </c>
    </row>
    <row r="88" spans="1:3" ht="36" customHeight="1">
      <c r="A88" s="2" t="s">
        <v>532</v>
      </c>
      <c r="B88" s="2" t="s">
        <v>533</v>
      </c>
      <c r="C88" s="2" t="s">
        <v>534</v>
      </c>
    </row>
    <row r="89" spans="1:3" ht="36" customHeight="1">
      <c r="A89" s="3" t="s">
        <v>535</v>
      </c>
      <c r="B89" s="3" t="s">
        <v>536</v>
      </c>
      <c r="C89" s="3" t="s">
        <v>537</v>
      </c>
    </row>
    <row r="90" spans="1:3" ht="36" customHeight="1">
      <c r="A90" s="2" t="s">
        <v>538</v>
      </c>
      <c r="B90" s="2" t="s">
        <v>539</v>
      </c>
      <c r="C90" s="2" t="s">
        <v>540</v>
      </c>
    </row>
    <row r="92" spans="1:3" ht="22.5" customHeight="1">
      <c r="A92" s="11" t="s">
        <v>541</v>
      </c>
      <c r="B92" s="11"/>
      <c r="C92" s="11"/>
    </row>
    <row r="93" spans="1:3" ht="36" customHeight="1">
      <c r="A93" s="4" t="s">
        <v>542</v>
      </c>
    </row>
    <row r="94" spans="1:3" ht="36" customHeight="1">
      <c r="A94" s="3" t="s">
        <v>543</v>
      </c>
    </row>
    <row r="95" spans="1:3" ht="36" customHeight="1">
      <c r="A95" s="2" t="s">
        <v>40</v>
      </c>
      <c r="B95" s="2" t="s">
        <v>232</v>
      </c>
      <c r="C95" s="2" t="s">
        <v>204</v>
      </c>
    </row>
    <row r="96" spans="1:3" ht="36" customHeight="1">
      <c r="A96" s="3" t="s">
        <v>544</v>
      </c>
      <c r="B96" s="3" t="s">
        <v>545</v>
      </c>
      <c r="C96" s="3" t="s">
        <v>546</v>
      </c>
    </row>
    <row r="97" spans="1:3" ht="36" customHeight="1">
      <c r="A97" s="2" t="s">
        <v>547</v>
      </c>
      <c r="B97" s="2" t="s">
        <v>548</v>
      </c>
      <c r="C97" s="2" t="s">
        <v>549</v>
      </c>
    </row>
    <row r="98" spans="1:3" ht="36" customHeight="1">
      <c r="A98" s="3" t="s">
        <v>550</v>
      </c>
      <c r="B98" s="3" t="s">
        <v>551</v>
      </c>
      <c r="C98" s="3" t="s">
        <v>552</v>
      </c>
    </row>
  </sheetData>
  <mergeCells count="8">
    <mergeCell ref="A50:C50"/>
    <mergeCell ref="A71:C71"/>
    <mergeCell ref="A92:C92"/>
    <mergeCell ref="A1:H1"/>
    <mergeCell ref="A2:H2"/>
    <mergeCell ref="A4:C4"/>
    <mergeCell ref="A16:C16"/>
    <mergeCell ref="A29:C2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9"/>
  <sheetViews>
    <sheetView showGridLines="0" zoomScaleNormal="100" workbookViewId="0">
      <pane ySplit="4" topLeftCell="A5" activePane="bottomLeft" state="frozen"/>
      <selection pane="bottomLeft"/>
    </sheetView>
  </sheetViews>
  <sheetFormatPr defaultColWidth="8.7109375" defaultRowHeight="15"/>
  <cols>
    <col min="1" max="1" width="30" customWidth="1"/>
    <col min="2" max="3" width="44" customWidth="1"/>
    <col min="4" max="6" width="24" customWidth="1"/>
  </cols>
  <sheetData>
    <row r="1" spans="1:8" ht="27.75" customHeight="1">
      <c r="A1" s="12" t="s">
        <v>13</v>
      </c>
      <c r="B1" s="12"/>
      <c r="C1" s="12"/>
      <c r="D1" s="12"/>
      <c r="E1" s="12"/>
      <c r="F1" s="12"/>
      <c r="G1" s="12"/>
      <c r="H1" s="12"/>
    </row>
    <row r="2" spans="1:8" ht="33.75" customHeight="1">
      <c r="A2" s="13" t="s">
        <v>14</v>
      </c>
      <c r="B2" s="13"/>
      <c r="C2" s="13"/>
      <c r="D2" s="13"/>
      <c r="E2" s="13"/>
      <c r="F2" s="13"/>
      <c r="G2" s="13"/>
      <c r="H2" s="13"/>
    </row>
    <row r="4" spans="1:8" ht="22.5" customHeight="1">
      <c r="A4" s="11" t="s">
        <v>553</v>
      </c>
      <c r="B4" s="11"/>
      <c r="C4" s="11"/>
    </row>
    <row r="5" spans="1:8" ht="36" customHeight="1">
      <c r="A5" s="4" t="s">
        <v>554</v>
      </c>
    </row>
    <row r="6" spans="1:8" ht="36" customHeight="1">
      <c r="A6" s="3" t="s">
        <v>555</v>
      </c>
    </row>
    <row r="7" spans="1:8" ht="36" customHeight="1">
      <c r="A7" s="2" t="s">
        <v>556</v>
      </c>
      <c r="B7" s="2" t="s">
        <v>557</v>
      </c>
      <c r="C7" s="2" t="s">
        <v>204</v>
      </c>
    </row>
    <row r="8" spans="1:8" ht="36" customHeight="1">
      <c r="A8" s="3" t="s">
        <v>558</v>
      </c>
      <c r="B8" s="3" t="s">
        <v>559</v>
      </c>
      <c r="C8" s="3" t="s">
        <v>560</v>
      </c>
    </row>
    <row r="9" spans="1:8" ht="36" customHeight="1">
      <c r="A9" s="2" t="s">
        <v>561</v>
      </c>
      <c r="B9" s="2" t="s">
        <v>559</v>
      </c>
      <c r="C9" s="2" t="s">
        <v>562</v>
      </c>
    </row>
    <row r="10" spans="1:8" ht="36" customHeight="1">
      <c r="A10" s="3" t="s">
        <v>563</v>
      </c>
      <c r="B10" s="3" t="s">
        <v>559</v>
      </c>
      <c r="C10" s="3" t="s">
        <v>564</v>
      </c>
    </row>
    <row r="11" spans="1:8" ht="36" customHeight="1">
      <c r="A11" s="2" t="s">
        <v>565</v>
      </c>
      <c r="B11" s="2" t="s">
        <v>559</v>
      </c>
      <c r="C11" s="2" t="s">
        <v>566</v>
      </c>
    </row>
    <row r="12" spans="1:8" ht="36" customHeight="1">
      <c r="A12" s="3" t="s">
        <v>567</v>
      </c>
      <c r="B12" s="3" t="s">
        <v>568</v>
      </c>
      <c r="C12" s="3" t="s">
        <v>569</v>
      </c>
    </row>
    <row r="13" spans="1:8" ht="36" customHeight="1">
      <c r="A13" s="2" t="s">
        <v>570</v>
      </c>
      <c r="B13" s="2" t="s">
        <v>571</v>
      </c>
      <c r="C13" s="2" t="s">
        <v>572</v>
      </c>
    </row>
    <row r="14" spans="1:8" ht="36" customHeight="1">
      <c r="A14" s="3" t="s">
        <v>573</v>
      </c>
      <c r="B14" s="3" t="s">
        <v>571</v>
      </c>
      <c r="C14" s="3" t="s">
        <v>574</v>
      </c>
    </row>
    <row r="15" spans="1:8" ht="36" customHeight="1">
      <c r="A15" s="2" t="s">
        <v>575</v>
      </c>
      <c r="B15" s="2" t="s">
        <v>571</v>
      </c>
      <c r="C15" s="2" t="s">
        <v>576</v>
      </c>
    </row>
    <row r="17" spans="1:6" ht="22.5" customHeight="1">
      <c r="A17" s="11" t="s">
        <v>577</v>
      </c>
      <c r="B17" s="11"/>
      <c r="C17" s="11"/>
      <c r="D17" s="11"/>
      <c r="E17" s="11"/>
      <c r="F17" s="11"/>
    </row>
    <row r="18" spans="1:6" ht="36" customHeight="1">
      <c r="A18" s="4" t="s">
        <v>578</v>
      </c>
    </row>
    <row r="19" spans="1:6" ht="36" customHeight="1">
      <c r="A19" s="3" t="s">
        <v>579</v>
      </c>
    </row>
    <row r="20" spans="1:6" ht="36" customHeight="1">
      <c r="A20" s="2" t="s">
        <v>580</v>
      </c>
      <c r="B20" s="2" t="s">
        <v>581</v>
      </c>
      <c r="C20" s="2" t="s">
        <v>582</v>
      </c>
      <c r="D20" s="2" t="s">
        <v>583</v>
      </c>
      <c r="E20" s="2" t="s">
        <v>584</v>
      </c>
      <c r="F20" s="2" t="s">
        <v>585</v>
      </c>
    </row>
    <row r="21" spans="1:6" ht="36" customHeight="1">
      <c r="A21" s="3" t="s">
        <v>567</v>
      </c>
      <c r="B21" s="3" t="s">
        <v>586</v>
      </c>
      <c r="C21" s="3" t="s">
        <v>587</v>
      </c>
      <c r="D21" s="3" t="s">
        <v>588</v>
      </c>
      <c r="E21" s="3" t="s">
        <v>589</v>
      </c>
      <c r="F21" s="3" t="s">
        <v>590</v>
      </c>
    </row>
    <row r="22" spans="1:6" ht="36" customHeight="1">
      <c r="A22" s="2" t="s">
        <v>591</v>
      </c>
      <c r="B22" s="2" t="s">
        <v>586</v>
      </c>
      <c r="C22" s="2" t="s">
        <v>587</v>
      </c>
      <c r="D22" s="2" t="s">
        <v>592</v>
      </c>
      <c r="E22" s="2" t="s">
        <v>593</v>
      </c>
      <c r="F22" s="2" t="s">
        <v>594</v>
      </c>
    </row>
    <row r="23" spans="1:6" ht="36" customHeight="1">
      <c r="A23" s="3" t="s">
        <v>595</v>
      </c>
      <c r="B23" s="3" t="s">
        <v>586</v>
      </c>
      <c r="C23" s="3" t="s">
        <v>596</v>
      </c>
      <c r="D23" s="3" t="s">
        <v>597</v>
      </c>
      <c r="E23" s="3" t="s">
        <v>598</v>
      </c>
      <c r="F23" s="3" t="s">
        <v>599</v>
      </c>
    </row>
    <row r="24" spans="1:6" ht="36" customHeight="1">
      <c r="A24" s="2" t="s">
        <v>600</v>
      </c>
      <c r="B24" s="2" t="s">
        <v>586</v>
      </c>
      <c r="C24" s="2" t="s">
        <v>601</v>
      </c>
      <c r="D24" s="2" t="s">
        <v>588</v>
      </c>
      <c r="E24" s="2" t="s">
        <v>602</v>
      </c>
      <c r="F24" s="2" t="s">
        <v>603</v>
      </c>
    </row>
    <row r="25" spans="1:6" ht="36" customHeight="1">
      <c r="A25" s="3" t="s">
        <v>604</v>
      </c>
      <c r="B25" s="3" t="s">
        <v>586</v>
      </c>
      <c r="C25" s="3" t="s">
        <v>605</v>
      </c>
      <c r="D25" s="3" t="s">
        <v>606</v>
      </c>
      <c r="E25" s="3" t="s">
        <v>607</v>
      </c>
      <c r="F25" s="3" t="s">
        <v>590</v>
      </c>
    </row>
    <row r="26" spans="1:6" ht="36" customHeight="1">
      <c r="A26" s="2" t="s">
        <v>608</v>
      </c>
      <c r="B26" s="2" t="s">
        <v>586</v>
      </c>
      <c r="C26" s="2" t="s">
        <v>587</v>
      </c>
      <c r="D26" s="2" t="s">
        <v>606</v>
      </c>
      <c r="E26" s="2" t="s">
        <v>609</v>
      </c>
      <c r="F26" s="2" t="s">
        <v>610</v>
      </c>
    </row>
    <row r="27" spans="1:6" ht="36" customHeight="1">
      <c r="A27" s="3" t="s">
        <v>611</v>
      </c>
      <c r="B27" s="3" t="s">
        <v>612</v>
      </c>
      <c r="C27" s="3" t="s">
        <v>613</v>
      </c>
      <c r="D27" s="3" t="s">
        <v>614</v>
      </c>
      <c r="E27" s="3" t="s">
        <v>615</v>
      </c>
      <c r="F27" s="3" t="s">
        <v>616</v>
      </c>
    </row>
    <row r="28" spans="1:6" ht="36" customHeight="1">
      <c r="A28" s="2" t="s">
        <v>617</v>
      </c>
      <c r="B28" s="2" t="s">
        <v>612</v>
      </c>
      <c r="C28" s="2" t="s">
        <v>613</v>
      </c>
      <c r="D28" s="2" t="s">
        <v>614</v>
      </c>
      <c r="E28" s="2" t="s">
        <v>615</v>
      </c>
      <c r="F28" s="2" t="s">
        <v>618</v>
      </c>
    </row>
    <row r="29" spans="1:6" ht="36" customHeight="1">
      <c r="A29" s="3" t="s">
        <v>619</v>
      </c>
      <c r="B29" s="3" t="s">
        <v>620</v>
      </c>
      <c r="C29" s="3" t="s">
        <v>621</v>
      </c>
    </row>
    <row r="30" spans="1:6" ht="36" customHeight="1">
      <c r="A30" s="2" t="s">
        <v>622</v>
      </c>
      <c r="B30" s="2" t="s">
        <v>623</v>
      </c>
      <c r="C30" s="2" t="s">
        <v>46</v>
      </c>
    </row>
    <row r="31" spans="1:6" ht="36" customHeight="1">
      <c r="A31" s="3" t="s">
        <v>624</v>
      </c>
      <c r="B31" s="3" t="s">
        <v>625</v>
      </c>
      <c r="C31" s="3" t="s">
        <v>46</v>
      </c>
    </row>
    <row r="33" spans="1:5" ht="22.5" customHeight="1">
      <c r="A33" s="11" t="s">
        <v>626</v>
      </c>
      <c r="B33" s="11"/>
      <c r="C33" s="11"/>
      <c r="D33" s="11"/>
      <c r="E33" s="11"/>
    </row>
    <row r="34" spans="1:5" ht="36" customHeight="1">
      <c r="A34" s="4" t="s">
        <v>627</v>
      </c>
    </row>
    <row r="35" spans="1:5" ht="36" customHeight="1">
      <c r="A35" s="3" t="s">
        <v>628</v>
      </c>
    </row>
    <row r="36" spans="1:5" ht="36" customHeight="1">
      <c r="A36" s="2" t="s">
        <v>580</v>
      </c>
      <c r="B36" s="2" t="s">
        <v>581</v>
      </c>
      <c r="C36" s="2" t="s">
        <v>583</v>
      </c>
      <c r="D36" s="2" t="s">
        <v>584</v>
      </c>
      <c r="E36" s="2" t="s">
        <v>585</v>
      </c>
    </row>
    <row r="37" spans="1:5" ht="36" customHeight="1">
      <c r="A37" s="3" t="s">
        <v>629</v>
      </c>
      <c r="B37" s="3" t="s">
        <v>586</v>
      </c>
      <c r="C37" s="3" t="s">
        <v>597</v>
      </c>
      <c r="D37" s="3" t="s">
        <v>589</v>
      </c>
      <c r="E37" s="3" t="s">
        <v>630</v>
      </c>
    </row>
    <row r="38" spans="1:5" ht="36" customHeight="1">
      <c r="A38" s="2" t="s">
        <v>631</v>
      </c>
      <c r="B38" s="2" t="s">
        <v>586</v>
      </c>
      <c r="C38" s="2" t="s">
        <v>606</v>
      </c>
      <c r="D38" s="2" t="s">
        <v>589</v>
      </c>
      <c r="E38" s="2" t="s">
        <v>632</v>
      </c>
    </row>
    <row r="39" spans="1:5" ht="36" customHeight="1">
      <c r="A39" s="3" t="s">
        <v>633</v>
      </c>
      <c r="B39" s="3" t="s">
        <v>586</v>
      </c>
      <c r="C39" s="3" t="s">
        <v>597</v>
      </c>
      <c r="D39" s="3" t="s">
        <v>589</v>
      </c>
      <c r="E39" s="3" t="s">
        <v>634</v>
      </c>
    </row>
    <row r="40" spans="1:5" ht="36" customHeight="1">
      <c r="A40" s="2" t="s">
        <v>635</v>
      </c>
      <c r="B40" s="2" t="s">
        <v>586</v>
      </c>
      <c r="C40" s="2" t="s">
        <v>636</v>
      </c>
      <c r="D40" s="2" t="s">
        <v>589</v>
      </c>
      <c r="E40" s="2" t="s">
        <v>637</v>
      </c>
    </row>
    <row r="41" spans="1:5" ht="36" customHeight="1">
      <c r="A41" s="3" t="s">
        <v>638</v>
      </c>
      <c r="B41" s="3" t="s">
        <v>586</v>
      </c>
      <c r="C41" s="3" t="s">
        <v>636</v>
      </c>
      <c r="D41" s="3" t="s">
        <v>589</v>
      </c>
      <c r="E41" s="3" t="s">
        <v>639</v>
      </c>
    </row>
    <row r="42" spans="1:5" ht="36" customHeight="1">
      <c r="A42" s="2" t="s">
        <v>640</v>
      </c>
      <c r="B42" s="2" t="s">
        <v>586</v>
      </c>
      <c r="C42" s="2" t="s">
        <v>636</v>
      </c>
      <c r="D42" s="2" t="s">
        <v>589</v>
      </c>
      <c r="E42" s="2" t="s">
        <v>641</v>
      </c>
    </row>
    <row r="43" spans="1:5" ht="36" customHeight="1">
      <c r="A43" s="3" t="s">
        <v>642</v>
      </c>
      <c r="B43" s="3" t="s">
        <v>586</v>
      </c>
      <c r="C43" s="3" t="s">
        <v>643</v>
      </c>
      <c r="D43" s="3" t="s">
        <v>589</v>
      </c>
      <c r="E43" s="3" t="s">
        <v>644</v>
      </c>
    </row>
    <row r="44" spans="1:5" ht="36" customHeight="1">
      <c r="A44" s="2" t="s">
        <v>645</v>
      </c>
      <c r="B44" s="2" t="s">
        <v>586</v>
      </c>
      <c r="C44" s="2" t="s">
        <v>588</v>
      </c>
      <c r="D44" s="2" t="s">
        <v>589</v>
      </c>
      <c r="E44" s="2" t="s">
        <v>646</v>
      </c>
    </row>
    <row r="45" spans="1:5" ht="36" customHeight="1">
      <c r="A45" s="3" t="s">
        <v>647</v>
      </c>
      <c r="B45" s="3" t="s">
        <v>586</v>
      </c>
      <c r="C45" s="3" t="s">
        <v>606</v>
      </c>
      <c r="D45" s="3" t="s">
        <v>589</v>
      </c>
      <c r="E45" s="3" t="s">
        <v>648</v>
      </c>
    </row>
    <row r="46" spans="1:5" ht="36" customHeight="1">
      <c r="A46" s="2" t="s">
        <v>649</v>
      </c>
      <c r="B46" s="2" t="s">
        <v>650</v>
      </c>
      <c r="C46" s="2" t="s">
        <v>651</v>
      </c>
      <c r="D46" s="2" t="s">
        <v>589</v>
      </c>
      <c r="E46" s="2" t="s">
        <v>652</v>
      </c>
    </row>
    <row r="47" spans="1:5" ht="36" customHeight="1">
      <c r="A47" s="3" t="s">
        <v>653</v>
      </c>
      <c r="B47" s="3" t="s">
        <v>654</v>
      </c>
      <c r="C47" s="3" t="s">
        <v>606</v>
      </c>
      <c r="D47" s="3" t="s">
        <v>589</v>
      </c>
      <c r="E47" s="3" t="s">
        <v>655</v>
      </c>
    </row>
    <row r="48" spans="1:5" ht="36" customHeight="1">
      <c r="A48" s="2" t="s">
        <v>656</v>
      </c>
      <c r="B48" s="2" t="s">
        <v>586</v>
      </c>
      <c r="C48" s="2" t="s">
        <v>606</v>
      </c>
      <c r="D48" s="2" t="s">
        <v>589</v>
      </c>
      <c r="E48" s="2" t="s">
        <v>657</v>
      </c>
    </row>
    <row r="49" spans="1:6" ht="36" customHeight="1">
      <c r="A49" s="3" t="s">
        <v>658</v>
      </c>
      <c r="B49" s="3" t="s">
        <v>654</v>
      </c>
      <c r="C49" s="3" t="s">
        <v>606</v>
      </c>
      <c r="D49" s="3" t="s">
        <v>589</v>
      </c>
      <c r="E49" s="3" t="s">
        <v>659</v>
      </c>
    </row>
    <row r="51" spans="1:6" ht="22.5" customHeight="1">
      <c r="A51" s="11" t="s">
        <v>660</v>
      </c>
      <c r="B51" s="11"/>
      <c r="C51" s="11"/>
      <c r="D51" s="11"/>
      <c r="E51" s="11"/>
      <c r="F51" s="11"/>
    </row>
    <row r="52" spans="1:6" ht="36" customHeight="1">
      <c r="A52" s="4" t="s">
        <v>661</v>
      </c>
    </row>
    <row r="53" spans="1:6" ht="36" customHeight="1">
      <c r="A53" s="3" t="s">
        <v>662</v>
      </c>
    </row>
    <row r="54" spans="1:6" ht="36" customHeight="1">
      <c r="A54" s="2" t="s">
        <v>580</v>
      </c>
      <c r="B54" s="2" t="s">
        <v>581</v>
      </c>
      <c r="C54" s="2" t="s">
        <v>583</v>
      </c>
      <c r="D54" s="2" t="s">
        <v>584</v>
      </c>
      <c r="E54" s="2" t="s">
        <v>585</v>
      </c>
      <c r="F54" s="2" t="s">
        <v>42</v>
      </c>
    </row>
    <row r="55" spans="1:6" ht="36" customHeight="1">
      <c r="A55" s="3" t="s">
        <v>663</v>
      </c>
      <c r="B55" s="3" t="s">
        <v>586</v>
      </c>
      <c r="C55" s="3" t="s">
        <v>588</v>
      </c>
      <c r="D55" s="3" t="s">
        <v>589</v>
      </c>
      <c r="E55" s="3" t="s">
        <v>664</v>
      </c>
      <c r="F55" s="3" t="s">
        <v>46</v>
      </c>
    </row>
    <row r="56" spans="1:6" ht="36" customHeight="1">
      <c r="A56" s="2" t="s">
        <v>665</v>
      </c>
      <c r="B56" s="2" t="s">
        <v>586</v>
      </c>
      <c r="C56" s="2" t="s">
        <v>606</v>
      </c>
      <c r="D56" s="2" t="s">
        <v>589</v>
      </c>
      <c r="E56" s="2" t="s">
        <v>666</v>
      </c>
      <c r="F56" s="2" t="s">
        <v>46</v>
      </c>
    </row>
    <row r="57" spans="1:6" ht="36" customHeight="1">
      <c r="A57" s="3" t="s">
        <v>667</v>
      </c>
      <c r="B57" s="3" t="s">
        <v>668</v>
      </c>
      <c r="C57" s="3" t="s">
        <v>669</v>
      </c>
      <c r="D57" s="3" t="s">
        <v>670</v>
      </c>
      <c r="E57" s="3" t="s">
        <v>671</v>
      </c>
      <c r="F57" s="3" t="s">
        <v>46</v>
      </c>
    </row>
    <row r="58" spans="1:6" ht="36" customHeight="1">
      <c r="A58" s="2" t="s">
        <v>672</v>
      </c>
      <c r="B58" s="2" t="s">
        <v>654</v>
      </c>
      <c r="C58" s="2" t="s">
        <v>606</v>
      </c>
      <c r="D58" s="2" t="s">
        <v>673</v>
      </c>
      <c r="E58" s="2" t="s">
        <v>674</v>
      </c>
      <c r="F58" s="2" t="s">
        <v>675</v>
      </c>
    </row>
    <row r="59" spans="1:6" ht="36" customHeight="1">
      <c r="A59" s="3" t="s">
        <v>676</v>
      </c>
      <c r="B59" s="3" t="s">
        <v>654</v>
      </c>
      <c r="C59" s="3" t="s">
        <v>636</v>
      </c>
      <c r="D59" s="3" t="s">
        <v>673</v>
      </c>
      <c r="E59" s="3" t="s">
        <v>677</v>
      </c>
      <c r="F59" s="3" t="s">
        <v>46</v>
      </c>
    </row>
    <row r="60" spans="1:6" ht="36" customHeight="1">
      <c r="A60" s="2" t="s">
        <v>169</v>
      </c>
      <c r="B60" s="2" t="s">
        <v>654</v>
      </c>
      <c r="C60" s="2" t="s">
        <v>678</v>
      </c>
      <c r="D60" s="2" t="s">
        <v>679</v>
      </c>
      <c r="E60" s="2" t="s">
        <v>680</v>
      </c>
      <c r="F60" s="2" t="s">
        <v>156</v>
      </c>
    </row>
    <row r="61" spans="1:6" ht="36" customHeight="1">
      <c r="A61" s="3" t="s">
        <v>681</v>
      </c>
      <c r="B61" s="3" t="s">
        <v>654</v>
      </c>
      <c r="C61" s="3" t="s">
        <v>606</v>
      </c>
      <c r="D61" s="3" t="s">
        <v>589</v>
      </c>
      <c r="E61" s="3" t="s">
        <v>682</v>
      </c>
      <c r="F61" s="3" t="s">
        <v>46</v>
      </c>
    </row>
    <row r="62" spans="1:6" ht="36" customHeight="1">
      <c r="A62" s="2" t="s">
        <v>683</v>
      </c>
      <c r="B62" s="2" t="s">
        <v>654</v>
      </c>
      <c r="C62" s="2" t="s">
        <v>684</v>
      </c>
      <c r="D62" s="2" t="s">
        <v>589</v>
      </c>
      <c r="E62" s="2" t="s">
        <v>685</v>
      </c>
      <c r="F62" s="2" t="s">
        <v>46</v>
      </c>
    </row>
    <row r="63" spans="1:6" ht="36" customHeight="1">
      <c r="A63" s="3" t="s">
        <v>686</v>
      </c>
      <c r="B63" s="3" t="s">
        <v>586</v>
      </c>
      <c r="C63" s="3" t="s">
        <v>684</v>
      </c>
      <c r="D63" s="3" t="s">
        <v>589</v>
      </c>
      <c r="E63" s="3" t="s">
        <v>687</v>
      </c>
      <c r="F63" s="3" t="s">
        <v>46</v>
      </c>
    </row>
    <row r="64" spans="1:6" ht="36" customHeight="1">
      <c r="A64" s="2" t="s">
        <v>688</v>
      </c>
      <c r="B64" s="2" t="s">
        <v>654</v>
      </c>
      <c r="C64" s="2" t="s">
        <v>636</v>
      </c>
      <c r="D64" s="2" t="s">
        <v>689</v>
      </c>
      <c r="E64" s="2" t="s">
        <v>690</v>
      </c>
      <c r="F64" s="2" t="s">
        <v>46</v>
      </c>
    </row>
    <row r="65" spans="1:6" ht="36" customHeight="1">
      <c r="A65" s="3" t="s">
        <v>691</v>
      </c>
      <c r="B65" s="3" t="s">
        <v>692</v>
      </c>
      <c r="C65" s="3" t="s">
        <v>606</v>
      </c>
      <c r="D65" s="3" t="s">
        <v>589</v>
      </c>
      <c r="E65" s="3" t="s">
        <v>693</v>
      </c>
      <c r="F65" s="3" t="s">
        <v>46</v>
      </c>
    </row>
    <row r="66" spans="1:6" ht="36" customHeight="1">
      <c r="A66" s="2" t="s">
        <v>694</v>
      </c>
      <c r="B66" s="2" t="s">
        <v>695</v>
      </c>
      <c r="C66" s="2" t="s">
        <v>636</v>
      </c>
      <c r="D66" s="2" t="s">
        <v>589</v>
      </c>
      <c r="E66" s="2" t="s">
        <v>696</v>
      </c>
      <c r="F66" s="2" t="s">
        <v>46</v>
      </c>
    </row>
    <row r="67" spans="1:6" ht="36" customHeight="1">
      <c r="A67" s="3" t="s">
        <v>697</v>
      </c>
      <c r="B67" s="3" t="s">
        <v>698</v>
      </c>
      <c r="C67" s="3" t="s">
        <v>699</v>
      </c>
      <c r="D67" s="3" t="s">
        <v>670</v>
      </c>
      <c r="E67" s="3" t="s">
        <v>700</v>
      </c>
      <c r="F67" s="3" t="s">
        <v>46</v>
      </c>
    </row>
    <row r="68" spans="1:6" ht="36" customHeight="1">
      <c r="A68" s="2" t="s">
        <v>701</v>
      </c>
      <c r="B68" s="2" t="s">
        <v>654</v>
      </c>
      <c r="C68" s="2" t="s">
        <v>684</v>
      </c>
      <c r="D68" s="2" t="s">
        <v>589</v>
      </c>
      <c r="E68" s="2" t="s">
        <v>702</v>
      </c>
      <c r="F68" s="2" t="s">
        <v>46</v>
      </c>
    </row>
    <row r="69" spans="1:6" ht="36" customHeight="1">
      <c r="A69" s="3" t="s">
        <v>703</v>
      </c>
      <c r="B69" s="3" t="s">
        <v>586</v>
      </c>
      <c r="C69" s="3" t="s">
        <v>597</v>
      </c>
      <c r="D69" s="3" t="s">
        <v>589</v>
      </c>
      <c r="E69" s="3" t="s">
        <v>704</v>
      </c>
      <c r="F69" s="3" t="s">
        <v>46</v>
      </c>
    </row>
  </sheetData>
  <mergeCells count="6">
    <mergeCell ref="A51:F51"/>
    <mergeCell ref="A1:H1"/>
    <mergeCell ref="A2:H2"/>
    <mergeCell ref="A4:C4"/>
    <mergeCell ref="A17:F17"/>
    <mergeCell ref="A33:E3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214"/>
  <sheetViews>
    <sheetView showGridLines="0" tabSelected="1" zoomScaleNormal="100" workbookViewId="0">
      <pane ySplit="4" topLeftCell="A5" activePane="bottomLeft" state="frozen"/>
      <selection pane="bottomLeft" activeCell="B111" sqref="B111"/>
    </sheetView>
  </sheetViews>
  <sheetFormatPr defaultColWidth="8.7109375" defaultRowHeight="15"/>
  <cols>
    <col min="1" max="1" width="30" customWidth="1"/>
    <col min="2" max="2" width="39.7109375" customWidth="1"/>
    <col min="3" max="3" width="25.42578125" customWidth="1"/>
    <col min="4" max="4" width="19.85546875" customWidth="1"/>
    <col min="5" max="8" width="24" customWidth="1"/>
    <col min="9" max="19" width="28" customWidth="1"/>
  </cols>
  <sheetData>
    <row r="1" spans="1:8" ht="20.25">
      <c r="A1" s="12" t="s">
        <v>15</v>
      </c>
      <c r="B1" s="12"/>
      <c r="C1" s="12"/>
      <c r="D1" s="12"/>
      <c r="E1" s="12"/>
      <c r="F1" s="12"/>
      <c r="G1" s="12"/>
      <c r="H1" s="12"/>
    </row>
    <row r="2" spans="1:8">
      <c r="A2" s="13" t="s">
        <v>16</v>
      </c>
      <c r="B2" s="13"/>
      <c r="C2" s="13"/>
      <c r="D2" s="13"/>
      <c r="E2" s="13"/>
      <c r="F2" s="13"/>
      <c r="G2" s="13"/>
      <c r="H2" s="13"/>
    </row>
    <row r="4" spans="1:8" ht="15.75">
      <c r="A4" s="11" t="s">
        <v>705</v>
      </c>
      <c r="B4" s="11"/>
      <c r="C4" s="11"/>
    </row>
    <row r="5" spans="1:8">
      <c r="A5" s="4" t="s">
        <v>706</v>
      </c>
    </row>
    <row r="6" spans="1:8" ht="30.75">
      <c r="A6" s="3" t="s">
        <v>707</v>
      </c>
    </row>
    <row r="7" spans="1:8">
      <c r="A7" s="2" t="s">
        <v>708</v>
      </c>
      <c r="B7" s="2" t="s">
        <v>709</v>
      </c>
      <c r="C7" s="2" t="s">
        <v>42</v>
      </c>
    </row>
    <row r="8" spans="1:8" ht="30.75">
      <c r="A8" s="3" t="s">
        <v>710</v>
      </c>
      <c r="B8" s="3" t="s">
        <v>711</v>
      </c>
      <c r="C8" s="3" t="s">
        <v>712</v>
      </c>
    </row>
    <row r="9" spans="1:8" ht="30.75">
      <c r="A9" s="2" t="s">
        <v>713</v>
      </c>
      <c r="B9" s="2" t="s">
        <v>714</v>
      </c>
      <c r="C9" s="2" t="s">
        <v>46</v>
      </c>
    </row>
    <row r="10" spans="1:8">
      <c r="A10" s="3" t="s">
        <v>715</v>
      </c>
      <c r="B10" s="3" t="s">
        <v>716</v>
      </c>
      <c r="C10" s="3" t="s">
        <v>46</v>
      </c>
    </row>
    <row r="11" spans="1:8" ht="45.75">
      <c r="A11" s="2" t="s">
        <v>717</v>
      </c>
      <c r="B11" s="2" t="s">
        <v>718</v>
      </c>
      <c r="C11" s="2" t="s">
        <v>719</v>
      </c>
    </row>
    <row r="12" spans="1:8">
      <c r="A12" s="3" t="s">
        <v>720</v>
      </c>
      <c r="B12" s="3" t="s">
        <v>721</v>
      </c>
      <c r="C12" s="3" t="s">
        <v>46</v>
      </c>
    </row>
    <row r="13" spans="1:8" ht="30.75">
      <c r="A13" s="2" t="s">
        <v>722</v>
      </c>
      <c r="B13" s="2" t="s">
        <v>723</v>
      </c>
      <c r="C13" s="2" t="s">
        <v>46</v>
      </c>
    </row>
    <row r="14" spans="1:8">
      <c r="A14" s="3" t="s">
        <v>724</v>
      </c>
      <c r="B14" s="3" t="s">
        <v>725</v>
      </c>
      <c r="C14" s="3" t="s">
        <v>46</v>
      </c>
    </row>
    <row r="15" spans="1:8">
      <c r="A15" s="2" t="s">
        <v>726</v>
      </c>
      <c r="B15" s="2" t="s">
        <v>727</v>
      </c>
      <c r="C15" s="2" t="s">
        <v>46</v>
      </c>
    </row>
    <row r="16" spans="1:8" ht="30.75">
      <c r="A16" s="3" t="s">
        <v>728</v>
      </c>
      <c r="B16" s="3" t="s">
        <v>729</v>
      </c>
      <c r="C16" s="3" t="s">
        <v>719</v>
      </c>
    </row>
    <row r="17" spans="1:19" ht="45.75">
      <c r="A17" s="2" t="s">
        <v>730</v>
      </c>
      <c r="B17" s="2" t="s">
        <v>731</v>
      </c>
      <c r="C17" s="2" t="s">
        <v>719</v>
      </c>
    </row>
    <row r="18" spans="1:19" ht="30.75">
      <c r="A18" s="3" t="s">
        <v>732</v>
      </c>
      <c r="B18" s="3" t="s">
        <v>733</v>
      </c>
      <c r="C18" s="3" t="s">
        <v>719</v>
      </c>
    </row>
    <row r="19" spans="1:19">
      <c r="A19" s="2" t="s">
        <v>734</v>
      </c>
      <c r="B19" s="2" t="s">
        <v>735</v>
      </c>
      <c r="C19" s="2" t="s">
        <v>719</v>
      </c>
    </row>
    <row r="20" spans="1:19" ht="30.75">
      <c r="A20" s="3" t="s">
        <v>736</v>
      </c>
      <c r="B20" s="3" t="s">
        <v>737</v>
      </c>
      <c r="C20" s="3" t="s">
        <v>719</v>
      </c>
    </row>
    <row r="21" spans="1:19" ht="45.75">
      <c r="A21" s="2" t="s">
        <v>738</v>
      </c>
      <c r="B21" s="2" t="s">
        <v>739</v>
      </c>
      <c r="C21" s="2" t="s">
        <v>719</v>
      </c>
    </row>
    <row r="22" spans="1:19" ht="30.75">
      <c r="A22" s="3" t="s">
        <v>740</v>
      </c>
      <c r="B22" s="3" t="s">
        <v>741</v>
      </c>
      <c r="C22" s="3" t="s">
        <v>719</v>
      </c>
    </row>
    <row r="23" spans="1:19" ht="45.75">
      <c r="A23" s="2" t="s">
        <v>742</v>
      </c>
      <c r="B23" s="2" t="s">
        <v>743</v>
      </c>
      <c r="C23" s="2" t="s">
        <v>46</v>
      </c>
    </row>
    <row r="25" spans="1:19" ht="15.75">
      <c r="A25" s="11" t="s">
        <v>744</v>
      </c>
      <c r="B25" s="11"/>
      <c r="C25" s="11"/>
      <c r="D25" s="11"/>
      <c r="E25" s="11"/>
      <c r="F25" s="11"/>
      <c r="G25" s="11"/>
      <c r="H25" s="11"/>
      <c r="I25" s="11"/>
      <c r="J25" s="11"/>
      <c r="K25" s="11"/>
      <c r="L25" s="11"/>
      <c r="M25" s="11"/>
      <c r="N25" s="11"/>
      <c r="O25" s="11"/>
      <c r="P25" s="11"/>
      <c r="Q25" s="11"/>
      <c r="R25" s="11"/>
      <c r="S25" s="11"/>
    </row>
    <row r="26" spans="1:19" ht="29.25">
      <c r="A26" s="4" t="s">
        <v>745</v>
      </c>
    </row>
    <row r="27" spans="1:19" ht="45.75">
      <c r="A27" s="3" t="s">
        <v>746</v>
      </c>
    </row>
    <row r="28" spans="1:19">
      <c r="A28" s="2" t="s">
        <v>747</v>
      </c>
      <c r="B28" s="2" t="s">
        <v>748</v>
      </c>
      <c r="C28" s="2" t="s">
        <v>749</v>
      </c>
      <c r="D28" s="2" t="s">
        <v>750</v>
      </c>
      <c r="E28" s="2" t="s">
        <v>751</v>
      </c>
      <c r="F28" s="2" t="s">
        <v>752</v>
      </c>
      <c r="G28" s="2" t="s">
        <v>753</v>
      </c>
      <c r="H28" s="2" t="s">
        <v>754</v>
      </c>
      <c r="I28" s="2" t="s">
        <v>755</v>
      </c>
      <c r="J28" s="2" t="s">
        <v>756</v>
      </c>
      <c r="K28" s="2" t="s">
        <v>757</v>
      </c>
      <c r="L28" s="2" t="s">
        <v>758</v>
      </c>
      <c r="M28" s="2" t="s">
        <v>759</v>
      </c>
      <c r="N28" s="2" t="s">
        <v>760</v>
      </c>
      <c r="O28" s="2" t="s">
        <v>761</v>
      </c>
      <c r="P28" s="2" t="s">
        <v>762</v>
      </c>
      <c r="Q28" s="2" t="s">
        <v>763</v>
      </c>
      <c r="R28" s="2" t="s">
        <v>764</v>
      </c>
      <c r="S28" s="2" t="s">
        <v>557</v>
      </c>
    </row>
    <row r="29" spans="1:19">
      <c r="A29" s="3" t="s">
        <v>765</v>
      </c>
      <c r="B29" s="3" t="s">
        <v>766</v>
      </c>
      <c r="C29" s="3" t="s">
        <v>670</v>
      </c>
      <c r="D29" s="3" t="s">
        <v>767</v>
      </c>
      <c r="E29" s="3">
        <v>1</v>
      </c>
      <c r="F29" s="3">
        <v>1</v>
      </c>
      <c r="G29" s="3" t="s">
        <v>768</v>
      </c>
      <c r="H29" s="3" t="s">
        <v>670</v>
      </c>
      <c r="I29" s="3">
        <v>16</v>
      </c>
      <c r="J29" s="3">
        <v>30</v>
      </c>
      <c r="K29" s="3">
        <v>40</v>
      </c>
      <c r="L29" s="3">
        <v>2</v>
      </c>
      <c r="M29" s="3">
        <v>67</v>
      </c>
      <c r="N29" s="3">
        <v>60</v>
      </c>
      <c r="O29" s="3">
        <v>60</v>
      </c>
      <c r="P29" s="3">
        <v>5</v>
      </c>
      <c r="Q29" s="3">
        <v>1000</v>
      </c>
      <c r="R29" s="3">
        <v>1000</v>
      </c>
      <c r="S29" s="3" t="s">
        <v>769</v>
      </c>
    </row>
    <row r="30" spans="1:19" ht="121.5">
      <c r="A30" s="2" t="s">
        <v>770</v>
      </c>
      <c r="B30" s="2" t="s">
        <v>766</v>
      </c>
      <c r="C30" s="2" t="s">
        <v>670</v>
      </c>
      <c r="D30" s="2" t="s">
        <v>767</v>
      </c>
      <c r="E30" s="2">
        <v>1</v>
      </c>
      <c r="F30" s="2">
        <v>1</v>
      </c>
      <c r="G30" s="2" t="s">
        <v>768</v>
      </c>
      <c r="H30" s="2" t="s">
        <v>771</v>
      </c>
      <c r="I30" s="2">
        <v>16</v>
      </c>
      <c r="J30" s="2">
        <v>10</v>
      </c>
      <c r="K30" s="2">
        <v>5</v>
      </c>
      <c r="L30" s="2">
        <v>4</v>
      </c>
      <c r="M30" s="2">
        <v>60</v>
      </c>
      <c r="N30" s="2">
        <v>10</v>
      </c>
      <c r="O30" s="2">
        <v>20</v>
      </c>
      <c r="P30" s="2">
        <v>6</v>
      </c>
      <c r="Q30" s="2">
        <v>1000</v>
      </c>
      <c r="R30" s="2">
        <v>996</v>
      </c>
      <c r="S30" s="2" t="s">
        <v>772</v>
      </c>
    </row>
    <row r="31" spans="1:19">
      <c r="A31" s="3" t="s">
        <v>773</v>
      </c>
      <c r="B31" s="3" t="s">
        <v>766</v>
      </c>
      <c r="C31" s="3" t="s">
        <v>670</v>
      </c>
      <c r="D31" s="3" t="s">
        <v>774</v>
      </c>
      <c r="E31" s="3">
        <v>1</v>
      </c>
      <c r="F31" s="3">
        <v>1</v>
      </c>
      <c r="G31" s="3" t="s">
        <v>768</v>
      </c>
      <c r="H31" s="3" t="s">
        <v>670</v>
      </c>
      <c r="I31" s="3">
        <v>14</v>
      </c>
      <c r="J31" s="3">
        <v>10</v>
      </c>
      <c r="K31" s="3">
        <v>80</v>
      </c>
      <c r="L31" s="3">
        <v>-2</v>
      </c>
      <c r="M31" s="3">
        <v>51</v>
      </c>
      <c r="N31" s="3">
        <v>25</v>
      </c>
      <c r="O31" s="3">
        <v>120</v>
      </c>
      <c r="P31" s="3">
        <v>-5</v>
      </c>
      <c r="Q31" s="3">
        <v>998</v>
      </c>
      <c r="R31" s="3">
        <v>999</v>
      </c>
      <c r="S31" s="3" t="s">
        <v>775</v>
      </c>
    </row>
    <row r="32" spans="1:19">
      <c r="A32" s="2" t="s">
        <v>776</v>
      </c>
      <c r="B32" s="2" t="s">
        <v>766</v>
      </c>
      <c r="C32" s="2" t="s">
        <v>670</v>
      </c>
      <c r="D32" s="2" t="s">
        <v>774</v>
      </c>
      <c r="E32" s="2">
        <v>1</v>
      </c>
      <c r="F32" s="2">
        <v>1</v>
      </c>
      <c r="G32" s="2" t="s">
        <v>768</v>
      </c>
      <c r="H32" s="2" t="s">
        <v>670</v>
      </c>
      <c r="I32" s="2">
        <v>21</v>
      </c>
      <c r="J32" s="2">
        <v>80</v>
      </c>
      <c r="K32" s="2">
        <v>65</v>
      </c>
      <c r="L32" s="2">
        <v>2</v>
      </c>
      <c r="M32" s="2">
        <v>86</v>
      </c>
      <c r="N32" s="2">
        <v>135</v>
      </c>
      <c r="O32" s="2">
        <v>115</v>
      </c>
      <c r="P32" s="2">
        <v>5</v>
      </c>
      <c r="Q32" s="2">
        <v>1000</v>
      </c>
      <c r="R32" s="2">
        <v>1001</v>
      </c>
      <c r="S32" s="2" t="s">
        <v>777</v>
      </c>
    </row>
    <row r="33" spans="1:19">
      <c r="A33" s="3" t="s">
        <v>778</v>
      </c>
      <c r="B33" s="3" t="s">
        <v>766</v>
      </c>
      <c r="C33" s="3" t="s">
        <v>670</v>
      </c>
      <c r="D33" s="3" t="s">
        <v>774</v>
      </c>
      <c r="E33" s="3">
        <v>1</v>
      </c>
      <c r="F33" s="3">
        <v>1</v>
      </c>
      <c r="G33" s="3" t="s">
        <v>779</v>
      </c>
      <c r="H33" s="3" t="s">
        <v>670</v>
      </c>
      <c r="I33" s="3">
        <v>16</v>
      </c>
      <c r="J33" s="3">
        <v>75</v>
      </c>
      <c r="K33" s="3">
        <v>20</v>
      </c>
      <c r="L33" s="3">
        <v>-1</v>
      </c>
      <c r="M33" s="3">
        <v>70</v>
      </c>
      <c r="N33" s="3">
        <v>165</v>
      </c>
      <c r="O33" s="3">
        <v>25</v>
      </c>
      <c r="P33" s="3">
        <v>0</v>
      </c>
      <c r="Q33" s="3">
        <v>1000</v>
      </c>
      <c r="R33" s="3">
        <v>998</v>
      </c>
      <c r="S33" s="3" t="s">
        <v>780</v>
      </c>
    </row>
    <row r="34" spans="1:19">
      <c r="A34" s="2" t="s">
        <v>781</v>
      </c>
      <c r="B34" s="2" t="s">
        <v>766</v>
      </c>
      <c r="C34" s="2" t="s">
        <v>670</v>
      </c>
      <c r="D34" s="2" t="s">
        <v>774</v>
      </c>
      <c r="E34" s="2">
        <v>1</v>
      </c>
      <c r="F34" s="2">
        <v>2</v>
      </c>
      <c r="G34" s="2" t="s">
        <v>782</v>
      </c>
      <c r="H34" s="2" t="s">
        <v>670</v>
      </c>
      <c r="I34" s="2">
        <v>13</v>
      </c>
      <c r="J34" s="2">
        <v>45</v>
      </c>
      <c r="K34" s="2">
        <v>30</v>
      </c>
      <c r="L34" s="2">
        <v>7</v>
      </c>
      <c r="M34" s="2">
        <v>56</v>
      </c>
      <c r="N34" s="2">
        <v>90</v>
      </c>
      <c r="O34" s="2">
        <v>50</v>
      </c>
      <c r="P34" s="2">
        <v>23</v>
      </c>
      <c r="Q34" s="2">
        <v>1001</v>
      </c>
      <c r="R34" s="2">
        <v>1005</v>
      </c>
      <c r="S34" s="2" t="s">
        <v>783</v>
      </c>
    </row>
    <row r="35" spans="1:19">
      <c r="A35" s="3" t="s">
        <v>784</v>
      </c>
      <c r="B35" s="3" t="s">
        <v>766</v>
      </c>
      <c r="C35" s="3" t="s">
        <v>670</v>
      </c>
      <c r="D35" s="3" t="s">
        <v>767</v>
      </c>
      <c r="E35" s="3">
        <v>1</v>
      </c>
      <c r="F35" s="3">
        <v>3</v>
      </c>
      <c r="G35" s="3" t="s">
        <v>768</v>
      </c>
      <c r="H35" s="3" t="s">
        <v>670</v>
      </c>
      <c r="I35" s="3">
        <v>13</v>
      </c>
      <c r="J35" s="3">
        <v>45</v>
      </c>
      <c r="K35" s="3">
        <v>30</v>
      </c>
      <c r="L35" s="3">
        <v>0</v>
      </c>
      <c r="M35" s="3">
        <v>52</v>
      </c>
      <c r="N35" s="3">
        <v>80</v>
      </c>
      <c r="O35" s="3">
        <v>45</v>
      </c>
      <c r="P35" s="3">
        <v>0</v>
      </c>
      <c r="Q35" s="3">
        <v>1004</v>
      </c>
      <c r="R35" s="3">
        <v>998</v>
      </c>
      <c r="S35" s="3" t="s">
        <v>785</v>
      </c>
    </row>
    <row r="36" spans="1:19">
      <c r="A36" s="2" t="s">
        <v>786</v>
      </c>
      <c r="B36" s="2" t="s">
        <v>766</v>
      </c>
      <c r="C36" s="2" t="s">
        <v>670</v>
      </c>
      <c r="D36" s="2" t="s">
        <v>767</v>
      </c>
      <c r="E36" s="2">
        <v>1</v>
      </c>
      <c r="F36" s="2">
        <v>1</v>
      </c>
      <c r="G36" s="2" t="s">
        <v>768</v>
      </c>
      <c r="H36" s="2" t="s">
        <v>787</v>
      </c>
      <c r="I36" s="2">
        <v>12</v>
      </c>
      <c r="J36" s="2">
        <v>50</v>
      </c>
      <c r="K36" s="2">
        <v>25</v>
      </c>
      <c r="L36" s="2">
        <v>7</v>
      </c>
      <c r="M36" s="2">
        <v>53</v>
      </c>
      <c r="N36" s="2">
        <v>90</v>
      </c>
      <c r="O36" s="2">
        <v>45</v>
      </c>
      <c r="P36" s="2">
        <v>16</v>
      </c>
      <c r="Q36" s="2">
        <v>1000</v>
      </c>
      <c r="R36" s="2">
        <v>1004</v>
      </c>
      <c r="S36" s="2" t="s">
        <v>788</v>
      </c>
    </row>
    <row r="37" spans="1:19">
      <c r="A37" s="3" t="s">
        <v>789</v>
      </c>
      <c r="B37" s="3" t="s">
        <v>766</v>
      </c>
      <c r="C37" s="3" t="s">
        <v>670</v>
      </c>
      <c r="D37" s="3" t="s">
        <v>774</v>
      </c>
      <c r="E37" s="3">
        <v>1</v>
      </c>
      <c r="F37" s="3">
        <v>1</v>
      </c>
      <c r="G37" s="3" t="s">
        <v>768</v>
      </c>
      <c r="H37" s="3" t="s">
        <v>670</v>
      </c>
      <c r="I37" s="3">
        <v>25</v>
      </c>
      <c r="J37" s="3">
        <v>95</v>
      </c>
      <c r="K37" s="3">
        <v>25</v>
      </c>
      <c r="L37" s="3">
        <v>-5</v>
      </c>
      <c r="M37" s="3">
        <v>105</v>
      </c>
      <c r="N37" s="3">
        <v>165</v>
      </c>
      <c r="O37" s="3">
        <v>35</v>
      </c>
      <c r="P37" s="3">
        <v>-21</v>
      </c>
      <c r="Q37" s="3">
        <v>1002</v>
      </c>
      <c r="R37" s="3">
        <v>1004</v>
      </c>
      <c r="S37" s="3" t="s">
        <v>790</v>
      </c>
    </row>
    <row r="38" spans="1:19">
      <c r="A38" s="2" t="s">
        <v>791</v>
      </c>
      <c r="B38" s="2" t="s">
        <v>792</v>
      </c>
      <c r="C38" s="2" t="s">
        <v>793</v>
      </c>
      <c r="D38" s="2" t="s">
        <v>774</v>
      </c>
      <c r="E38" s="2">
        <v>2</v>
      </c>
      <c r="F38" s="2">
        <v>5</v>
      </c>
      <c r="G38" s="2" t="s">
        <v>768</v>
      </c>
      <c r="H38" s="2" t="s">
        <v>670</v>
      </c>
      <c r="I38" s="2">
        <v>18</v>
      </c>
      <c r="J38" s="2">
        <v>80</v>
      </c>
      <c r="K38" s="2">
        <v>25</v>
      </c>
      <c r="L38" s="2">
        <v>-2</v>
      </c>
      <c r="M38" s="2">
        <v>75</v>
      </c>
      <c r="N38" s="2">
        <v>145</v>
      </c>
      <c r="O38" s="2">
        <v>40</v>
      </c>
      <c r="P38" s="2">
        <v>-5</v>
      </c>
      <c r="Q38" s="2">
        <v>998</v>
      </c>
      <c r="R38" s="2">
        <v>999</v>
      </c>
      <c r="S38" s="2" t="s">
        <v>794</v>
      </c>
    </row>
    <row r="39" spans="1:19">
      <c r="A39" s="3" t="s">
        <v>795</v>
      </c>
      <c r="B39" s="3" t="s">
        <v>792</v>
      </c>
      <c r="C39" s="3" t="s">
        <v>796</v>
      </c>
      <c r="D39" s="3" t="s">
        <v>767</v>
      </c>
      <c r="E39" s="3">
        <v>2</v>
      </c>
      <c r="F39" s="3">
        <v>4</v>
      </c>
      <c r="G39" s="3" t="s">
        <v>768</v>
      </c>
      <c r="H39" s="3" t="s">
        <v>670</v>
      </c>
      <c r="I39" s="3">
        <v>12</v>
      </c>
      <c r="J39" s="3">
        <v>75</v>
      </c>
      <c r="K39" s="3">
        <v>25</v>
      </c>
      <c r="L39" s="3">
        <v>0</v>
      </c>
      <c r="M39" s="3">
        <v>47</v>
      </c>
      <c r="N39" s="3">
        <v>120</v>
      </c>
      <c r="O39" s="3">
        <v>40</v>
      </c>
      <c r="P39" s="3">
        <v>0</v>
      </c>
      <c r="Q39" s="3">
        <v>1000</v>
      </c>
      <c r="R39" s="3">
        <v>998</v>
      </c>
      <c r="S39" s="3" t="s">
        <v>797</v>
      </c>
    </row>
    <row r="40" spans="1:19">
      <c r="A40" s="2" t="s">
        <v>798</v>
      </c>
      <c r="B40" s="2" t="s">
        <v>792</v>
      </c>
      <c r="C40" s="2" t="s">
        <v>793</v>
      </c>
      <c r="D40" s="2" t="s">
        <v>767</v>
      </c>
      <c r="E40" s="2">
        <v>2</v>
      </c>
      <c r="F40" s="2">
        <v>3</v>
      </c>
      <c r="G40" s="2" t="s">
        <v>768</v>
      </c>
      <c r="H40" s="2" t="s">
        <v>670</v>
      </c>
      <c r="I40" s="2">
        <v>11</v>
      </c>
      <c r="J40" s="2">
        <v>20</v>
      </c>
      <c r="K40" s="2">
        <v>35</v>
      </c>
      <c r="L40" s="2">
        <v>2</v>
      </c>
      <c r="M40" s="2">
        <v>46</v>
      </c>
      <c r="N40" s="2">
        <v>35</v>
      </c>
      <c r="O40" s="2">
        <v>50</v>
      </c>
      <c r="P40" s="2">
        <v>0</v>
      </c>
      <c r="Q40" s="2">
        <v>1001</v>
      </c>
      <c r="R40" s="2">
        <v>1000</v>
      </c>
      <c r="S40" s="2" t="s">
        <v>799</v>
      </c>
    </row>
    <row r="41" spans="1:19">
      <c r="A41" s="3" t="s">
        <v>800</v>
      </c>
      <c r="B41" s="3" t="s">
        <v>792</v>
      </c>
      <c r="C41" s="3" t="s">
        <v>796</v>
      </c>
      <c r="D41" s="3" t="s">
        <v>767</v>
      </c>
      <c r="E41" s="3">
        <v>2</v>
      </c>
      <c r="F41" s="3">
        <v>4</v>
      </c>
      <c r="G41" s="3" t="s">
        <v>768</v>
      </c>
      <c r="H41" s="3" t="s">
        <v>801</v>
      </c>
      <c r="I41" s="3">
        <v>5</v>
      </c>
      <c r="J41" s="3">
        <v>40</v>
      </c>
      <c r="K41" s="3">
        <v>0</v>
      </c>
      <c r="L41" s="3">
        <v>0</v>
      </c>
      <c r="M41" s="3">
        <v>15</v>
      </c>
      <c r="N41" s="3">
        <v>60</v>
      </c>
      <c r="O41" s="3">
        <v>0</v>
      </c>
      <c r="P41" s="3">
        <v>2</v>
      </c>
      <c r="Q41" s="3">
        <v>1000</v>
      </c>
      <c r="R41" s="3">
        <v>1000</v>
      </c>
      <c r="S41" s="3" t="s">
        <v>802</v>
      </c>
    </row>
    <row r="42" spans="1:19" ht="30.75">
      <c r="A42" s="2" t="s">
        <v>803</v>
      </c>
      <c r="B42" s="2" t="s">
        <v>792</v>
      </c>
      <c r="C42" s="2" t="s">
        <v>793</v>
      </c>
      <c r="D42" s="2" t="s">
        <v>774</v>
      </c>
      <c r="E42" s="2">
        <v>3</v>
      </c>
      <c r="F42" s="2">
        <v>5</v>
      </c>
      <c r="G42" s="2" t="s">
        <v>804</v>
      </c>
      <c r="H42" s="2" t="s">
        <v>670</v>
      </c>
      <c r="I42" s="2">
        <v>11</v>
      </c>
      <c r="J42" s="2">
        <v>125</v>
      </c>
      <c r="K42" s="2">
        <v>15</v>
      </c>
      <c r="L42" s="2">
        <v>-2</v>
      </c>
      <c r="M42" s="2">
        <v>46</v>
      </c>
      <c r="N42" s="2">
        <v>215</v>
      </c>
      <c r="O42" s="2">
        <v>25</v>
      </c>
      <c r="P42" s="2">
        <v>-5</v>
      </c>
      <c r="Q42" s="2">
        <v>998</v>
      </c>
      <c r="R42" s="2">
        <v>1001</v>
      </c>
      <c r="S42" s="2" t="s">
        <v>805</v>
      </c>
    </row>
    <row r="43" spans="1:19">
      <c r="A43" s="3" t="s">
        <v>806</v>
      </c>
      <c r="B43" s="3" t="s">
        <v>792</v>
      </c>
      <c r="C43" s="3" t="s">
        <v>796</v>
      </c>
      <c r="D43" s="3" t="s">
        <v>774</v>
      </c>
      <c r="E43" s="3">
        <v>2</v>
      </c>
      <c r="F43" s="3">
        <v>4</v>
      </c>
      <c r="G43" s="3" t="s">
        <v>768</v>
      </c>
      <c r="H43" s="3" t="s">
        <v>670</v>
      </c>
      <c r="I43" s="3">
        <v>9</v>
      </c>
      <c r="J43" s="3">
        <v>45</v>
      </c>
      <c r="K43" s="3">
        <v>80</v>
      </c>
      <c r="L43" s="3">
        <v>-3</v>
      </c>
      <c r="M43" s="3">
        <v>36</v>
      </c>
      <c r="N43" s="3">
        <v>75</v>
      </c>
      <c r="O43" s="3">
        <v>115</v>
      </c>
      <c r="P43" s="3">
        <v>-5</v>
      </c>
      <c r="Q43" s="3">
        <v>1000</v>
      </c>
      <c r="R43" s="3">
        <v>999</v>
      </c>
      <c r="S43" s="3" t="s">
        <v>807</v>
      </c>
    </row>
    <row r="44" spans="1:19">
      <c r="A44" s="2" t="s">
        <v>808</v>
      </c>
    </row>
    <row r="45" spans="1:19" ht="30.75">
      <c r="A45" s="3" t="s">
        <v>42</v>
      </c>
      <c r="B45" s="3" t="s">
        <v>809</v>
      </c>
    </row>
    <row r="46" spans="1:19" ht="121.5">
      <c r="A46" s="2" t="s">
        <v>202</v>
      </c>
      <c r="B46" s="2" t="s">
        <v>810</v>
      </c>
    </row>
    <row r="47" spans="1:19" ht="381.75">
      <c r="A47" s="3" t="s">
        <v>811</v>
      </c>
      <c r="B47" s="3" t="s">
        <v>812</v>
      </c>
    </row>
    <row r="48" spans="1:19" ht="76.5">
      <c r="A48" s="2" t="s">
        <v>813</v>
      </c>
      <c r="B48" s="2" t="s">
        <v>814</v>
      </c>
    </row>
    <row r="50" spans="1:3" ht="15.75">
      <c r="A50" s="11" t="s">
        <v>815</v>
      </c>
      <c r="B50" s="11"/>
      <c r="C50" s="11"/>
    </row>
    <row r="51" spans="1:3" ht="29.25">
      <c r="A51" s="4" t="s">
        <v>816</v>
      </c>
    </row>
    <row r="52" spans="1:3" ht="30.75">
      <c r="A52" s="3" t="s">
        <v>817</v>
      </c>
    </row>
    <row r="53" spans="1:3">
      <c r="A53" s="2" t="s">
        <v>40</v>
      </c>
      <c r="B53" s="2" t="s">
        <v>232</v>
      </c>
      <c r="C53" s="2" t="s">
        <v>42</v>
      </c>
    </row>
    <row r="54" spans="1:3" ht="30.75">
      <c r="A54" s="3" t="s">
        <v>109</v>
      </c>
      <c r="B54" s="3" t="s">
        <v>818</v>
      </c>
      <c r="C54" s="3" t="s">
        <v>46</v>
      </c>
    </row>
    <row r="55" spans="1:3" ht="30.75">
      <c r="A55" s="2" t="s">
        <v>819</v>
      </c>
      <c r="B55" s="2" t="s">
        <v>820</v>
      </c>
      <c r="C55" s="2" t="s">
        <v>46</v>
      </c>
    </row>
    <row r="56" spans="1:3" ht="45.75">
      <c r="A56" s="3" t="s">
        <v>821</v>
      </c>
      <c r="B56" s="3" t="s">
        <v>822</v>
      </c>
      <c r="C56" s="3" t="s">
        <v>46</v>
      </c>
    </row>
    <row r="57" spans="1:3" ht="30.75">
      <c r="A57" s="2" t="s">
        <v>823</v>
      </c>
      <c r="B57" s="2" t="s">
        <v>824</v>
      </c>
      <c r="C57" s="2" t="s">
        <v>46</v>
      </c>
    </row>
    <row r="58" spans="1:3" ht="60.75">
      <c r="A58" s="3" t="s">
        <v>825</v>
      </c>
      <c r="B58" s="3" t="s">
        <v>826</v>
      </c>
      <c r="C58" s="3" t="s">
        <v>46</v>
      </c>
    </row>
    <row r="59" spans="1:3" ht="76.5">
      <c r="A59" s="2" t="s">
        <v>827</v>
      </c>
      <c r="B59" s="2" t="s">
        <v>828</v>
      </c>
      <c r="C59" s="2" t="s">
        <v>46</v>
      </c>
    </row>
    <row r="60" spans="1:3" ht="76.5">
      <c r="A60" s="3" t="s">
        <v>829</v>
      </c>
      <c r="B60" s="3" t="s">
        <v>830</v>
      </c>
      <c r="C60" s="3" t="s">
        <v>46</v>
      </c>
    </row>
    <row r="61" spans="1:3" ht="60.75">
      <c r="A61" s="2" t="s">
        <v>86</v>
      </c>
      <c r="B61" s="2" t="s">
        <v>831</v>
      </c>
      <c r="C61" s="2" t="s">
        <v>46</v>
      </c>
    </row>
    <row r="62" spans="1:3" ht="30.75">
      <c r="A62" s="3" t="s">
        <v>832</v>
      </c>
      <c r="B62" s="3" t="s">
        <v>833</v>
      </c>
      <c r="C62" s="3" t="s">
        <v>834</v>
      </c>
    </row>
    <row r="63" spans="1:3" ht="183">
      <c r="A63" s="2" t="s">
        <v>835</v>
      </c>
      <c r="B63" s="2" t="s">
        <v>836</v>
      </c>
      <c r="C63" s="2" t="s">
        <v>46</v>
      </c>
    </row>
    <row r="64" spans="1:3" ht="91.5">
      <c r="A64" s="3" t="s">
        <v>837</v>
      </c>
      <c r="B64" s="3" t="s">
        <v>838</v>
      </c>
      <c r="C64" s="3" t="s">
        <v>46</v>
      </c>
    </row>
    <row r="66" spans="1:7" ht="15.75">
      <c r="A66" s="11" t="s">
        <v>839</v>
      </c>
      <c r="B66" s="11"/>
      <c r="C66" s="11"/>
      <c r="D66" s="11"/>
      <c r="E66" s="11"/>
      <c r="F66" s="11"/>
      <c r="G66" s="11"/>
    </row>
    <row r="67" spans="1:7" ht="29.25">
      <c r="A67" s="4" t="s">
        <v>840</v>
      </c>
    </row>
    <row r="68" spans="1:7" ht="45.75">
      <c r="A68" s="3" t="s">
        <v>841</v>
      </c>
    </row>
    <row r="69" spans="1:7">
      <c r="A69" s="2" t="s">
        <v>842</v>
      </c>
      <c r="B69" s="2" t="s">
        <v>843</v>
      </c>
      <c r="C69" s="2" t="s">
        <v>844</v>
      </c>
      <c r="D69" s="2" t="s">
        <v>845</v>
      </c>
      <c r="E69" s="2" t="s">
        <v>846</v>
      </c>
      <c r="F69" s="2" t="s">
        <v>847</v>
      </c>
      <c r="G69" s="2" t="s">
        <v>204</v>
      </c>
    </row>
    <row r="70" spans="1:7" ht="76.5">
      <c r="A70" s="3" t="s">
        <v>848</v>
      </c>
      <c r="B70" s="3">
        <v>0</v>
      </c>
      <c r="C70" s="3">
        <v>0</v>
      </c>
      <c r="D70" s="3">
        <v>0</v>
      </c>
      <c r="E70" s="3">
        <v>0</v>
      </c>
      <c r="F70" s="3">
        <v>0</v>
      </c>
      <c r="G70" s="3" t="s">
        <v>849</v>
      </c>
    </row>
    <row r="71" spans="1:7">
      <c r="A71" s="2" t="s">
        <v>850</v>
      </c>
      <c r="B71" s="2">
        <v>0</v>
      </c>
      <c r="C71" s="2">
        <v>0</v>
      </c>
      <c r="D71" s="2">
        <v>0</v>
      </c>
      <c r="E71" s="2">
        <v>0</v>
      </c>
      <c r="F71" s="2">
        <v>0</v>
      </c>
      <c r="G71" s="2" t="s">
        <v>851</v>
      </c>
    </row>
    <row r="72" spans="1:7">
      <c r="A72" s="3" t="s">
        <v>852</v>
      </c>
      <c r="B72" s="3">
        <v>100</v>
      </c>
      <c r="C72" s="3">
        <v>1</v>
      </c>
      <c r="D72" s="3">
        <f>MIN(B72*5%,50)</f>
        <v>5</v>
      </c>
      <c r="E72" s="3">
        <f>CEILING(B72-D72,1)</f>
        <v>95</v>
      </c>
      <c r="F72" s="3">
        <f>FLOOR(B72+D72,1)</f>
        <v>105</v>
      </c>
    </row>
    <row r="73" spans="1:7" ht="45.75">
      <c r="A73" s="2" t="s">
        <v>853</v>
      </c>
      <c r="B73" s="2">
        <v>150</v>
      </c>
      <c r="C73" s="2">
        <v>2</v>
      </c>
      <c r="D73" s="2">
        <f>MIN(B73*5%,50)</f>
        <v>7.5</v>
      </c>
      <c r="E73" s="2">
        <f>CEILING(B73-D73,1)</f>
        <v>143</v>
      </c>
      <c r="F73" s="2">
        <f>FLOOR(B73+D73,1)</f>
        <v>157</v>
      </c>
      <c r="G73" s="2" t="s">
        <v>854</v>
      </c>
    </row>
    <row r="74" spans="1:7">
      <c r="A74" s="3" t="s">
        <v>855</v>
      </c>
      <c r="B74" s="3">
        <v>200</v>
      </c>
      <c r="C74" s="3">
        <v>2</v>
      </c>
      <c r="D74" s="3">
        <f>MIN(B74*5%,50)</f>
        <v>10</v>
      </c>
      <c r="E74" s="3">
        <f>CEILING(B74-D74,1)</f>
        <v>190</v>
      </c>
      <c r="F74" s="3">
        <f>FLOOR(B74+D74,1)</f>
        <v>210</v>
      </c>
    </row>
    <row r="75" spans="1:7">
      <c r="A75" s="2" t="s">
        <v>856</v>
      </c>
      <c r="B75" s="2">
        <v>250</v>
      </c>
      <c r="C75" s="2">
        <v>3</v>
      </c>
      <c r="D75" s="2">
        <f>MIN(B75*5%,50)</f>
        <v>12.5</v>
      </c>
      <c r="E75" s="2">
        <f>CEILING(B75-D75,1)</f>
        <v>238</v>
      </c>
      <c r="F75" s="2">
        <f>FLOOR(B75+D75,1)</f>
        <v>262</v>
      </c>
    </row>
    <row r="76" spans="1:7">
      <c r="A76" s="3" t="s">
        <v>857</v>
      </c>
      <c r="B76" s="3">
        <v>300</v>
      </c>
      <c r="C76" s="3">
        <v>4</v>
      </c>
      <c r="D76" s="3">
        <f>MIN(B76*5%,50)</f>
        <v>15</v>
      </c>
      <c r="E76" s="3">
        <f>CEILING(B76-D76,1)</f>
        <v>285</v>
      </c>
      <c r="F76" s="3">
        <f>FLOOR(B76+D76,1)</f>
        <v>315</v>
      </c>
    </row>
    <row r="77" spans="1:7" ht="45.75">
      <c r="A77" s="2" t="s">
        <v>858</v>
      </c>
      <c r="B77" s="2">
        <v>350</v>
      </c>
      <c r="C77" s="2">
        <v>4</v>
      </c>
      <c r="D77" s="2">
        <f>MIN(B77*5%,50)</f>
        <v>17.5</v>
      </c>
      <c r="E77" s="2">
        <f>CEILING(B77-D77,1)</f>
        <v>333</v>
      </c>
      <c r="F77" s="2">
        <f>FLOOR(B77+D77,1)</f>
        <v>367</v>
      </c>
      <c r="G77" s="2" t="s">
        <v>859</v>
      </c>
    </row>
    <row r="78" spans="1:7" ht="45.75">
      <c r="A78" s="3" t="s">
        <v>86</v>
      </c>
      <c r="B78" s="3" t="s">
        <v>860</v>
      </c>
      <c r="C78" s="3" t="s">
        <v>860</v>
      </c>
      <c r="D78" s="3"/>
      <c r="E78" s="3"/>
      <c r="F78" s="3"/>
      <c r="G78" s="3" t="s">
        <v>861</v>
      </c>
    </row>
    <row r="80" spans="1:7" ht="15.75">
      <c r="A80" s="11" t="s">
        <v>862</v>
      </c>
      <c r="B80" s="11"/>
      <c r="C80" s="11"/>
    </row>
    <row r="81" spans="1:3" ht="29.25">
      <c r="A81" s="4" t="s">
        <v>863</v>
      </c>
    </row>
    <row r="82" spans="1:3" ht="45.75">
      <c r="A82" s="3" t="s">
        <v>864</v>
      </c>
    </row>
    <row r="83" spans="1:3">
      <c r="A83" s="2" t="s">
        <v>232</v>
      </c>
      <c r="B83" s="2" t="s">
        <v>865</v>
      </c>
      <c r="C83" s="2" t="s">
        <v>42</v>
      </c>
    </row>
    <row r="84" spans="1:3" ht="60.75">
      <c r="A84" s="3" t="s">
        <v>866</v>
      </c>
      <c r="B84" s="3" t="s">
        <v>867</v>
      </c>
      <c r="C84" s="3" t="s">
        <v>46</v>
      </c>
    </row>
    <row r="85" spans="1:3" ht="106.5">
      <c r="A85" s="2" t="s">
        <v>868</v>
      </c>
      <c r="B85" s="2" t="s">
        <v>869</v>
      </c>
      <c r="C85" s="2" t="s">
        <v>46</v>
      </c>
    </row>
    <row r="86" spans="1:3" ht="91.5">
      <c r="A86" s="3" t="s">
        <v>870</v>
      </c>
      <c r="B86" s="3" t="s">
        <v>871</v>
      </c>
      <c r="C86" s="3" t="s">
        <v>46</v>
      </c>
    </row>
    <row r="87" spans="1:3" ht="60.75">
      <c r="A87" s="2" t="s">
        <v>872</v>
      </c>
      <c r="B87" s="2" t="s">
        <v>873</v>
      </c>
      <c r="C87" s="2" t="s">
        <v>46</v>
      </c>
    </row>
    <row r="88" spans="1:3" ht="60.75">
      <c r="A88" s="3" t="s">
        <v>874</v>
      </c>
      <c r="B88" s="3" t="s">
        <v>875</v>
      </c>
      <c r="C88" s="3" t="s">
        <v>46</v>
      </c>
    </row>
    <row r="89" spans="1:3" ht="45.75">
      <c r="A89" s="2" t="s">
        <v>876</v>
      </c>
      <c r="B89" s="2" t="s">
        <v>877</v>
      </c>
      <c r="C89" s="2" t="s">
        <v>46</v>
      </c>
    </row>
    <row r="90" spans="1:3" ht="60.75">
      <c r="A90" s="3" t="s">
        <v>878</v>
      </c>
      <c r="B90" s="3" t="s">
        <v>879</v>
      </c>
      <c r="C90" s="3" t="s">
        <v>46</v>
      </c>
    </row>
    <row r="91" spans="1:3" ht="45.75">
      <c r="A91" s="2" t="s">
        <v>880</v>
      </c>
      <c r="B91" s="2" t="s">
        <v>881</v>
      </c>
      <c r="C91" s="2" t="s">
        <v>46</v>
      </c>
    </row>
    <row r="92" spans="1:3" ht="45.75">
      <c r="A92" s="3" t="s">
        <v>882</v>
      </c>
      <c r="B92" s="3" t="s">
        <v>883</v>
      </c>
      <c r="C92" s="3" t="s">
        <v>46</v>
      </c>
    </row>
    <row r="93" spans="1:3" ht="30.75">
      <c r="A93" s="2" t="s">
        <v>884</v>
      </c>
      <c r="B93" s="2" t="s">
        <v>885</v>
      </c>
      <c r="C93" s="2" t="s">
        <v>46</v>
      </c>
    </row>
    <row r="95" spans="1:3" ht="15.75">
      <c r="A95" s="11" t="s">
        <v>886</v>
      </c>
      <c r="B95" s="11"/>
      <c r="C95" s="11"/>
    </row>
    <row r="96" spans="1:3" ht="29.25">
      <c r="A96" s="4" t="s">
        <v>887</v>
      </c>
    </row>
    <row r="97" spans="1:8" ht="45.75">
      <c r="A97" s="3" t="s">
        <v>888</v>
      </c>
    </row>
    <row r="98" spans="1:8">
      <c r="A98" s="2" t="s">
        <v>889</v>
      </c>
      <c r="B98" s="2" t="s">
        <v>232</v>
      </c>
      <c r="C98" s="2" t="s">
        <v>42</v>
      </c>
    </row>
    <row r="99" spans="1:8" ht="198">
      <c r="A99" s="3" t="s">
        <v>890</v>
      </c>
      <c r="B99" s="3" t="s">
        <v>891</v>
      </c>
      <c r="C99" s="3" t="s">
        <v>46</v>
      </c>
    </row>
    <row r="100" spans="1:8" ht="121.5">
      <c r="A100" s="2" t="s">
        <v>892</v>
      </c>
      <c r="B100" s="2" t="s">
        <v>893</v>
      </c>
      <c r="C100" s="2" t="s">
        <v>46</v>
      </c>
    </row>
    <row r="101" spans="1:8" ht="198">
      <c r="A101" s="3" t="s">
        <v>894</v>
      </c>
      <c r="B101" s="3" t="s">
        <v>895</v>
      </c>
      <c r="C101" s="3" t="s">
        <v>46</v>
      </c>
    </row>
    <row r="102" spans="1:8" ht="409.6">
      <c r="A102" s="2" t="s">
        <v>896</v>
      </c>
      <c r="B102" s="2" t="s">
        <v>897</v>
      </c>
      <c r="C102" s="2" t="s">
        <v>46</v>
      </c>
    </row>
    <row r="103" spans="1:8" ht="137.25">
      <c r="A103" s="3" t="s">
        <v>898</v>
      </c>
      <c r="B103" s="3" t="s">
        <v>899</v>
      </c>
      <c r="C103" s="3" t="s">
        <v>46</v>
      </c>
    </row>
    <row r="104" spans="1:8" ht="137.25">
      <c r="A104" s="2" t="s">
        <v>900</v>
      </c>
      <c r="B104" s="2" t="s">
        <v>901</v>
      </c>
      <c r="C104" s="2" t="s">
        <v>46</v>
      </c>
    </row>
    <row r="105" spans="1:8" ht="366">
      <c r="A105" s="3" t="s">
        <v>161</v>
      </c>
      <c r="B105" s="3" t="s">
        <v>902</v>
      </c>
      <c r="C105" s="3" t="s">
        <v>46</v>
      </c>
    </row>
    <row r="107" spans="1:8" ht="15.75">
      <c r="A107" s="11" t="s">
        <v>903</v>
      </c>
      <c r="B107" s="11"/>
      <c r="C107" s="11"/>
      <c r="D107" s="11"/>
    </row>
    <row r="108" spans="1:8">
      <c r="A108" s="4" t="s">
        <v>904</v>
      </c>
    </row>
    <row r="109" spans="1:8" ht="45.75">
      <c r="A109" s="3" t="s">
        <v>905</v>
      </c>
    </row>
    <row r="110" spans="1:8">
      <c r="A110" s="2" t="s">
        <v>906</v>
      </c>
      <c r="B110" s="2" t="s">
        <v>907</v>
      </c>
      <c r="C110" t="s">
        <v>908</v>
      </c>
      <c r="D110" t="s">
        <v>909</v>
      </c>
      <c r="E110" t="s">
        <v>910</v>
      </c>
      <c r="F110" t="s">
        <v>911</v>
      </c>
      <c r="G110" t="s">
        <v>912</v>
      </c>
      <c r="H110" s="2" t="s">
        <v>913</v>
      </c>
    </row>
    <row r="111" spans="1:8" ht="91.5">
      <c r="A111" s="3" t="s">
        <v>205</v>
      </c>
      <c r="B111" s="3" t="s">
        <v>914</v>
      </c>
      <c r="H111" s="3" t="s">
        <v>915</v>
      </c>
    </row>
    <row r="112" spans="1:8" ht="30.75">
      <c r="A112" s="2" t="s">
        <v>209</v>
      </c>
      <c r="B112" s="2" t="s">
        <v>916</v>
      </c>
      <c r="H112" s="2" t="s">
        <v>915</v>
      </c>
    </row>
    <row r="113" spans="1:8" ht="30.75">
      <c r="A113" s="3" t="s">
        <v>213</v>
      </c>
      <c r="B113" s="3" t="s">
        <v>916</v>
      </c>
      <c r="H113" s="3" t="s">
        <v>915</v>
      </c>
    </row>
    <row r="114" spans="1:8" ht="30.75">
      <c r="A114" s="2" t="s">
        <v>217</v>
      </c>
      <c r="B114" s="2" t="s">
        <v>916</v>
      </c>
      <c r="H114" s="2" t="s">
        <v>915</v>
      </c>
    </row>
    <row r="115" spans="1:8" ht="30.75">
      <c r="A115" s="3" t="s">
        <v>221</v>
      </c>
      <c r="B115" s="3" t="s">
        <v>916</v>
      </c>
      <c r="H115" s="3" t="s">
        <v>915</v>
      </c>
    </row>
    <row r="116" spans="1:8" ht="30.75">
      <c r="A116" s="2" t="s">
        <v>225</v>
      </c>
      <c r="B116" s="2" t="s">
        <v>916</v>
      </c>
      <c r="H116" s="2" t="s">
        <v>915</v>
      </c>
    </row>
    <row r="117" spans="1:8" ht="45.75">
      <c r="A117" s="3" t="s">
        <v>917</v>
      </c>
      <c r="B117" s="3" t="s">
        <v>918</v>
      </c>
      <c r="H117" s="3" t="s">
        <v>919</v>
      </c>
    </row>
    <row r="118" spans="1:8" ht="45.75">
      <c r="A118" s="2" t="s">
        <v>920</v>
      </c>
      <c r="B118" s="2" t="s">
        <v>918</v>
      </c>
      <c r="H118" s="2" t="s">
        <v>919</v>
      </c>
    </row>
    <row r="119" spans="1:8" ht="45.75">
      <c r="A119" s="3" t="s">
        <v>921</v>
      </c>
      <c r="B119" s="3" t="s">
        <v>918</v>
      </c>
      <c r="H119" s="3" t="s">
        <v>919</v>
      </c>
    </row>
    <row r="120" spans="1:8" ht="60.75">
      <c r="A120" s="2" t="s">
        <v>922</v>
      </c>
      <c r="B120" s="2" t="s">
        <v>923</v>
      </c>
      <c r="H120" s="2" t="s">
        <v>919</v>
      </c>
    </row>
    <row r="121" spans="1:8" ht="60.75">
      <c r="A121" s="3" t="s">
        <v>924</v>
      </c>
      <c r="B121" s="3" t="s">
        <v>925</v>
      </c>
      <c r="H121" s="3" t="s">
        <v>919</v>
      </c>
    </row>
    <row r="122" spans="1:8" ht="60.75">
      <c r="A122" s="2" t="s">
        <v>926</v>
      </c>
      <c r="B122" s="2" t="s">
        <v>927</v>
      </c>
      <c r="H122" s="2" t="s">
        <v>919</v>
      </c>
    </row>
    <row r="123" spans="1:8" ht="76.5">
      <c r="A123" s="3" t="s">
        <v>928</v>
      </c>
      <c r="B123" s="3" t="s">
        <v>929</v>
      </c>
      <c r="H123" s="3" t="s">
        <v>919</v>
      </c>
    </row>
    <row r="124" spans="1:8" ht="45.75">
      <c r="A124" s="2" t="s">
        <v>930</v>
      </c>
      <c r="B124" s="2" t="s">
        <v>918</v>
      </c>
      <c r="H124" s="2" t="s">
        <v>919</v>
      </c>
    </row>
    <row r="125" spans="1:8" ht="60.75">
      <c r="A125" s="3" t="s">
        <v>931</v>
      </c>
      <c r="B125" s="3" t="s">
        <v>932</v>
      </c>
      <c r="H125" s="3" t="s">
        <v>919</v>
      </c>
    </row>
    <row r="126" spans="1:8" ht="45.75">
      <c r="A126" s="2" t="s">
        <v>76</v>
      </c>
      <c r="B126" s="2" t="s">
        <v>918</v>
      </c>
      <c r="H126" s="2" t="s">
        <v>919</v>
      </c>
    </row>
    <row r="127" spans="1:8" ht="45.75">
      <c r="A127" s="3" t="s">
        <v>933</v>
      </c>
      <c r="B127" s="3" t="s">
        <v>918</v>
      </c>
      <c r="H127" s="3" t="s">
        <v>919</v>
      </c>
    </row>
    <row r="128" spans="1:8" ht="45.75">
      <c r="A128" s="2" t="s">
        <v>934</v>
      </c>
      <c r="B128" s="2" t="s">
        <v>918</v>
      </c>
      <c r="H128" s="2" t="s">
        <v>919</v>
      </c>
    </row>
    <row r="129" spans="1:8" ht="45.75">
      <c r="A129" s="3" t="s">
        <v>935</v>
      </c>
      <c r="B129" s="3" t="s">
        <v>918</v>
      </c>
      <c r="H129" s="3" t="s">
        <v>919</v>
      </c>
    </row>
    <row r="130" spans="1:8" ht="45.75">
      <c r="A130" s="2" t="s">
        <v>936</v>
      </c>
      <c r="B130" s="2" t="s">
        <v>918</v>
      </c>
      <c r="H130" s="2" t="s">
        <v>919</v>
      </c>
    </row>
    <row r="131" spans="1:8" ht="45.75">
      <c r="A131" s="3" t="s">
        <v>937</v>
      </c>
      <c r="B131" s="3" t="s">
        <v>918</v>
      </c>
      <c r="H131" s="3" t="s">
        <v>919</v>
      </c>
    </row>
    <row r="132" spans="1:8" ht="45.75">
      <c r="A132" s="2" t="s">
        <v>938</v>
      </c>
      <c r="B132" s="2" t="s">
        <v>918</v>
      </c>
      <c r="H132" s="2" t="s">
        <v>919</v>
      </c>
    </row>
    <row r="133" spans="1:8" ht="45.75">
      <c r="A133" s="3" t="s">
        <v>939</v>
      </c>
      <c r="B133" s="3" t="s">
        <v>918</v>
      </c>
      <c r="H133" s="3" t="s">
        <v>919</v>
      </c>
    </row>
    <row r="134" spans="1:8" ht="45.75">
      <c r="A134" s="2" t="s">
        <v>940</v>
      </c>
      <c r="B134" s="2" t="s">
        <v>918</v>
      </c>
      <c r="H134" s="2" t="s">
        <v>919</v>
      </c>
    </row>
    <row r="135" spans="1:8" ht="45.75">
      <c r="A135" s="3" t="s">
        <v>941</v>
      </c>
      <c r="B135" s="3" t="s">
        <v>918</v>
      </c>
      <c r="H135" s="3" t="s">
        <v>919</v>
      </c>
    </row>
    <row r="136" spans="1:8" ht="45.75">
      <c r="A136" s="2" t="s">
        <v>942</v>
      </c>
      <c r="B136" s="2" t="s">
        <v>943</v>
      </c>
      <c r="H136" s="2" t="s">
        <v>944</v>
      </c>
    </row>
    <row r="137" spans="1:8" ht="45.75">
      <c r="A137" s="3" t="s">
        <v>945</v>
      </c>
      <c r="B137" s="3" t="s">
        <v>943</v>
      </c>
      <c r="H137" s="3" t="s">
        <v>944</v>
      </c>
    </row>
    <row r="138" spans="1:8" ht="45.75">
      <c r="A138" s="2" t="s">
        <v>946</v>
      </c>
      <c r="B138" s="2" t="s">
        <v>918</v>
      </c>
      <c r="H138" s="2" t="s">
        <v>944</v>
      </c>
    </row>
    <row r="139" spans="1:8" ht="45.75">
      <c r="A139" s="3" t="s">
        <v>947</v>
      </c>
      <c r="B139" s="3" t="s">
        <v>918</v>
      </c>
      <c r="H139" s="3" t="s">
        <v>944</v>
      </c>
    </row>
    <row r="140" spans="1:8" ht="45.75">
      <c r="A140" s="2" t="s">
        <v>948</v>
      </c>
      <c r="B140" s="2" t="s">
        <v>918</v>
      </c>
      <c r="H140" s="2" t="s">
        <v>944</v>
      </c>
    </row>
    <row r="141" spans="1:8" ht="45.75">
      <c r="A141" s="3" t="s">
        <v>949</v>
      </c>
      <c r="B141" s="3" t="s">
        <v>918</v>
      </c>
      <c r="H141" s="3" t="s">
        <v>944</v>
      </c>
    </row>
    <row r="142" spans="1:8" ht="45.75">
      <c r="A142" s="2" t="s">
        <v>950</v>
      </c>
      <c r="B142" s="2" t="s">
        <v>918</v>
      </c>
      <c r="H142" s="2" t="s">
        <v>944</v>
      </c>
    </row>
    <row r="143" spans="1:8" ht="45.75">
      <c r="A143" s="3" t="s">
        <v>951</v>
      </c>
      <c r="B143" s="3" t="s">
        <v>943</v>
      </c>
      <c r="H143" s="3" t="s">
        <v>944</v>
      </c>
    </row>
    <row r="144" spans="1:8" ht="45.75">
      <c r="A144" s="2" t="s">
        <v>952</v>
      </c>
      <c r="B144" s="2" t="s">
        <v>918</v>
      </c>
      <c r="H144" s="2" t="s">
        <v>944</v>
      </c>
    </row>
    <row r="145" spans="1:8" ht="45.75">
      <c r="A145" s="3" t="s">
        <v>953</v>
      </c>
      <c r="B145" s="3" t="s">
        <v>918</v>
      </c>
      <c r="H145" s="3" t="s">
        <v>944</v>
      </c>
    </row>
    <row r="146" spans="1:8" ht="106.5">
      <c r="A146" s="2" t="s">
        <v>954</v>
      </c>
      <c r="B146" s="2" t="s">
        <v>955</v>
      </c>
      <c r="H146" s="2" t="s">
        <v>956</v>
      </c>
    </row>
    <row r="147" spans="1:8" ht="60.75">
      <c r="A147" s="3" t="s">
        <v>957</v>
      </c>
      <c r="B147" s="3" t="s">
        <v>958</v>
      </c>
      <c r="H147" s="3" t="s">
        <v>956</v>
      </c>
    </row>
    <row r="148" spans="1:8" ht="76.5">
      <c r="A148" s="2" t="s">
        <v>801</v>
      </c>
      <c r="B148" s="2" t="s">
        <v>959</v>
      </c>
      <c r="H148" s="2" t="s">
        <v>956</v>
      </c>
    </row>
    <row r="149" spans="1:8" ht="106.5">
      <c r="A149" s="3" t="s">
        <v>960</v>
      </c>
      <c r="B149" s="3" t="s">
        <v>961</v>
      </c>
      <c r="H149" s="3" t="s">
        <v>956</v>
      </c>
    </row>
    <row r="150" spans="1:8" ht="106.5">
      <c r="A150" s="2" t="s">
        <v>962</v>
      </c>
      <c r="B150" s="2" t="s">
        <v>963</v>
      </c>
      <c r="H150" s="2" t="s">
        <v>956</v>
      </c>
    </row>
    <row r="151" spans="1:8" ht="60.75">
      <c r="A151" s="3" t="s">
        <v>964</v>
      </c>
      <c r="B151" s="3" t="s">
        <v>965</v>
      </c>
      <c r="H151" s="3" t="s">
        <v>956</v>
      </c>
    </row>
    <row r="152" spans="1:8" ht="60.75">
      <c r="A152" s="2" t="s">
        <v>966</v>
      </c>
      <c r="B152" s="2" t="s">
        <v>967</v>
      </c>
      <c r="H152" s="2" t="s">
        <v>956</v>
      </c>
    </row>
    <row r="153" spans="1:8" ht="60.75">
      <c r="A153" s="3" t="s">
        <v>647</v>
      </c>
      <c r="B153" s="3" t="s">
        <v>968</v>
      </c>
      <c r="H153" s="3" t="s">
        <v>956</v>
      </c>
    </row>
    <row r="154" spans="1:8" ht="60.75">
      <c r="A154" s="2" t="s">
        <v>969</v>
      </c>
      <c r="B154" s="2" t="s">
        <v>970</v>
      </c>
      <c r="H154" s="2" t="s">
        <v>956</v>
      </c>
    </row>
    <row r="155" spans="1:8" ht="76.5">
      <c r="A155" s="3" t="s">
        <v>971</v>
      </c>
      <c r="B155" s="3" t="s">
        <v>972</v>
      </c>
      <c r="H155" s="3" t="s">
        <v>956</v>
      </c>
    </row>
    <row r="156" spans="1:8" ht="45.75">
      <c r="A156" s="2" t="s">
        <v>973</v>
      </c>
      <c r="B156" s="2" t="s">
        <v>943</v>
      </c>
      <c r="H156" s="2" t="s">
        <v>956</v>
      </c>
    </row>
    <row r="157" spans="1:8" ht="76.5">
      <c r="A157" s="3" t="s">
        <v>974</v>
      </c>
      <c r="B157" s="3" t="s">
        <v>975</v>
      </c>
      <c r="H157" s="3" t="s">
        <v>956</v>
      </c>
    </row>
    <row r="158" spans="1:8" ht="60.75">
      <c r="A158" s="2" t="s">
        <v>976</v>
      </c>
      <c r="B158" s="2" t="s">
        <v>977</v>
      </c>
      <c r="H158" s="2" t="s">
        <v>956</v>
      </c>
    </row>
    <row r="159" spans="1:8" ht="76.5">
      <c r="A159" s="3" t="s">
        <v>978</v>
      </c>
      <c r="B159" s="3" t="s">
        <v>979</v>
      </c>
      <c r="H159" s="3" t="s">
        <v>956</v>
      </c>
    </row>
    <row r="160" spans="1:8" ht="45.75">
      <c r="A160" s="2" t="s">
        <v>980</v>
      </c>
      <c r="B160" s="2" t="s">
        <v>943</v>
      </c>
      <c r="H160" s="2" t="s">
        <v>981</v>
      </c>
    </row>
    <row r="161" spans="1:8" ht="45.75">
      <c r="A161" s="3" t="s">
        <v>982</v>
      </c>
      <c r="B161" s="3" t="s">
        <v>943</v>
      </c>
      <c r="H161" s="3" t="s">
        <v>981</v>
      </c>
    </row>
    <row r="162" spans="1:8" ht="45.75">
      <c r="A162" s="2" t="s">
        <v>983</v>
      </c>
      <c r="B162" s="2" t="s">
        <v>943</v>
      </c>
      <c r="H162" s="2" t="s">
        <v>981</v>
      </c>
    </row>
    <row r="163" spans="1:8" ht="45.75">
      <c r="A163" s="3" t="s">
        <v>984</v>
      </c>
      <c r="B163" s="3" t="s">
        <v>918</v>
      </c>
      <c r="H163" s="3" t="s">
        <v>981</v>
      </c>
    </row>
    <row r="164" spans="1:8" ht="45.75">
      <c r="A164" s="2" t="s">
        <v>985</v>
      </c>
      <c r="B164" s="2" t="s">
        <v>918</v>
      </c>
      <c r="H164" s="2" t="s">
        <v>981</v>
      </c>
    </row>
    <row r="165" spans="1:8" ht="45.75">
      <c r="A165" s="3" t="s">
        <v>986</v>
      </c>
      <c r="B165" s="3" t="s">
        <v>918</v>
      </c>
      <c r="H165" s="3" t="s">
        <v>981</v>
      </c>
    </row>
    <row r="166" spans="1:8" ht="45.75">
      <c r="A166" s="2" t="s">
        <v>78</v>
      </c>
      <c r="B166" s="2" t="s">
        <v>943</v>
      </c>
      <c r="H166" s="2" t="s">
        <v>981</v>
      </c>
    </row>
    <row r="167" spans="1:8" ht="45.75">
      <c r="A167" s="3" t="s">
        <v>987</v>
      </c>
      <c r="B167" s="3" t="s">
        <v>918</v>
      </c>
      <c r="H167" s="3" t="s">
        <v>981</v>
      </c>
    </row>
    <row r="168" spans="1:8" ht="45.75">
      <c r="A168" s="2" t="s">
        <v>988</v>
      </c>
      <c r="B168" s="2" t="s">
        <v>918</v>
      </c>
      <c r="H168" s="2" t="s">
        <v>981</v>
      </c>
    </row>
    <row r="169" spans="1:8" ht="45.75">
      <c r="A169" s="3" t="s">
        <v>989</v>
      </c>
      <c r="B169" s="3" t="s">
        <v>943</v>
      </c>
      <c r="H169" s="3" t="s">
        <v>981</v>
      </c>
    </row>
    <row r="170" spans="1:8" ht="45.75">
      <c r="A170" s="2" t="s">
        <v>990</v>
      </c>
      <c r="B170" s="2" t="s">
        <v>918</v>
      </c>
      <c r="H170" s="2" t="s">
        <v>981</v>
      </c>
    </row>
    <row r="171" spans="1:8" ht="45.75">
      <c r="A171" s="3" t="s">
        <v>991</v>
      </c>
      <c r="B171" s="3" t="s">
        <v>943</v>
      </c>
      <c r="H171" s="3" t="s">
        <v>981</v>
      </c>
    </row>
    <row r="172" spans="1:8" ht="45.75">
      <c r="A172" s="2" t="s">
        <v>992</v>
      </c>
      <c r="B172" s="2" t="s">
        <v>918</v>
      </c>
      <c r="H172" s="2" t="s">
        <v>981</v>
      </c>
    </row>
    <row r="173" spans="1:8" ht="45.75">
      <c r="A173" s="3" t="s">
        <v>993</v>
      </c>
      <c r="B173" s="3" t="s">
        <v>918</v>
      </c>
      <c r="H173" s="3" t="s">
        <v>981</v>
      </c>
    </row>
    <row r="174" spans="1:8" ht="45.75">
      <c r="A174" s="2" t="s">
        <v>994</v>
      </c>
      <c r="B174" s="2" t="s">
        <v>918</v>
      </c>
      <c r="H174" s="2" t="s">
        <v>981</v>
      </c>
    </row>
    <row r="175" spans="1:8" ht="106.5">
      <c r="A175" s="3" t="s">
        <v>995</v>
      </c>
      <c r="B175" s="3" t="s">
        <v>996</v>
      </c>
      <c r="H175" s="3" t="s">
        <v>997</v>
      </c>
    </row>
    <row r="176" spans="1:8" ht="45.75">
      <c r="A176" s="2" t="s">
        <v>998</v>
      </c>
      <c r="B176" s="2" t="s">
        <v>918</v>
      </c>
      <c r="H176" s="2" t="s">
        <v>997</v>
      </c>
    </row>
    <row r="177" spans="1:8" ht="76.5">
      <c r="A177" s="3" t="s">
        <v>920</v>
      </c>
      <c r="B177" s="3" t="s">
        <v>999</v>
      </c>
      <c r="H177" s="3" t="s">
        <v>997</v>
      </c>
    </row>
    <row r="178" spans="1:8" ht="45.75">
      <c r="A178" s="2" t="s">
        <v>1000</v>
      </c>
      <c r="B178" s="2" t="s">
        <v>918</v>
      </c>
      <c r="H178" s="2" t="s">
        <v>997</v>
      </c>
    </row>
    <row r="179" spans="1:8" ht="45.75">
      <c r="A179" s="3" t="s">
        <v>1001</v>
      </c>
      <c r="B179" s="3" t="s">
        <v>918</v>
      </c>
      <c r="H179" s="3" t="s">
        <v>997</v>
      </c>
    </row>
    <row r="180" spans="1:8" ht="45.75">
      <c r="A180" s="2" t="s">
        <v>1002</v>
      </c>
      <c r="B180" s="2" t="s">
        <v>918</v>
      </c>
      <c r="H180" s="2" t="s">
        <v>997</v>
      </c>
    </row>
    <row r="181" spans="1:8" ht="45.75">
      <c r="A181" s="3" t="s">
        <v>1003</v>
      </c>
      <c r="B181" s="3" t="s">
        <v>918</v>
      </c>
      <c r="H181" s="3" t="s">
        <v>997</v>
      </c>
    </row>
    <row r="182" spans="1:8" ht="45.75">
      <c r="A182" s="2" t="s">
        <v>1004</v>
      </c>
      <c r="B182" s="2" t="s">
        <v>918</v>
      </c>
      <c r="H182" s="2" t="s">
        <v>997</v>
      </c>
    </row>
    <row r="183" spans="1:8" ht="45.75">
      <c r="A183" s="3" t="s">
        <v>1005</v>
      </c>
      <c r="B183" s="3" t="s">
        <v>943</v>
      </c>
      <c r="H183" s="3" t="s">
        <v>997</v>
      </c>
    </row>
    <row r="184" spans="1:8" ht="45.75">
      <c r="A184" s="2" t="s">
        <v>1006</v>
      </c>
      <c r="B184" s="2" t="s">
        <v>918</v>
      </c>
      <c r="H184" s="2" t="s">
        <v>997</v>
      </c>
    </row>
    <row r="185" spans="1:8" ht="106.5">
      <c r="A185" s="3" t="s">
        <v>105</v>
      </c>
      <c r="B185" s="3" t="s">
        <v>1007</v>
      </c>
      <c r="H185" s="3" t="s">
        <v>1008</v>
      </c>
    </row>
    <row r="186" spans="1:8" ht="45.75">
      <c r="A186" s="2" t="s">
        <v>1009</v>
      </c>
      <c r="B186" s="2" t="s">
        <v>918</v>
      </c>
      <c r="H186" s="2" t="s">
        <v>1008</v>
      </c>
    </row>
    <row r="187" spans="1:8" ht="45.75">
      <c r="A187" s="3" t="s">
        <v>1010</v>
      </c>
      <c r="B187" s="3" t="s">
        <v>918</v>
      </c>
      <c r="H187" s="3" t="s">
        <v>1008</v>
      </c>
    </row>
    <row r="188" spans="1:8" ht="45.75">
      <c r="A188" s="2" t="s">
        <v>1011</v>
      </c>
      <c r="B188" s="2" t="s">
        <v>918</v>
      </c>
      <c r="H188" s="2" t="s">
        <v>1008</v>
      </c>
    </row>
    <row r="189" spans="1:8" ht="45.75">
      <c r="A189" s="3" t="s">
        <v>1012</v>
      </c>
      <c r="B189" s="3" t="s">
        <v>918</v>
      </c>
      <c r="H189" s="3" t="s">
        <v>1008</v>
      </c>
    </row>
    <row r="190" spans="1:8" ht="91.5">
      <c r="A190" s="2" t="s">
        <v>107</v>
      </c>
      <c r="B190" s="2" t="s">
        <v>1013</v>
      </c>
      <c r="H190" s="2" t="s">
        <v>1008</v>
      </c>
    </row>
    <row r="191" spans="1:8" ht="76.5">
      <c r="A191" s="3" t="s">
        <v>1014</v>
      </c>
      <c r="B191" s="3" t="s">
        <v>1015</v>
      </c>
      <c r="H191" s="3" t="s">
        <v>1008</v>
      </c>
    </row>
    <row r="192" spans="1:8" ht="76.5">
      <c r="A192" s="2" t="s">
        <v>1016</v>
      </c>
      <c r="B192" s="2" t="s">
        <v>1017</v>
      </c>
      <c r="H192" s="2" t="s">
        <v>1008</v>
      </c>
    </row>
    <row r="193" spans="1:8" ht="76.5">
      <c r="A193" s="3" t="s">
        <v>1018</v>
      </c>
      <c r="B193" s="3" t="s">
        <v>1019</v>
      </c>
      <c r="H193" s="3" t="s">
        <v>1008</v>
      </c>
    </row>
    <row r="194" spans="1:8" ht="45.75">
      <c r="A194" s="2" t="s">
        <v>1020</v>
      </c>
      <c r="B194" s="2" t="s">
        <v>943</v>
      </c>
      <c r="H194" s="2" t="s">
        <v>1008</v>
      </c>
    </row>
    <row r="195" spans="1:8" ht="45.75">
      <c r="A195" s="3" t="s">
        <v>1021</v>
      </c>
      <c r="B195" s="3" t="s">
        <v>918</v>
      </c>
      <c r="H195" s="3" t="s">
        <v>1008</v>
      </c>
    </row>
    <row r="196" spans="1:8" ht="45.75">
      <c r="A196" s="2" t="s">
        <v>1022</v>
      </c>
      <c r="B196" s="2" t="s">
        <v>918</v>
      </c>
      <c r="H196" s="2" t="s">
        <v>1008</v>
      </c>
    </row>
    <row r="197" spans="1:8" ht="45.75">
      <c r="A197" s="3" t="s">
        <v>1023</v>
      </c>
      <c r="B197" s="3" t="s">
        <v>918</v>
      </c>
      <c r="H197" s="3" t="s">
        <v>1008</v>
      </c>
    </row>
    <row r="198" spans="1:8" ht="45.75">
      <c r="A198" s="2" t="s">
        <v>1024</v>
      </c>
      <c r="B198" s="2" t="s">
        <v>918</v>
      </c>
      <c r="H198" s="2" t="s">
        <v>1008</v>
      </c>
    </row>
    <row r="199" spans="1:8" ht="45.75">
      <c r="A199" s="3" t="s">
        <v>1025</v>
      </c>
      <c r="B199" s="3" t="s">
        <v>918</v>
      </c>
      <c r="H199" s="3" t="s">
        <v>1008</v>
      </c>
    </row>
    <row r="200" spans="1:8" ht="45.75">
      <c r="A200" s="2" t="s">
        <v>1026</v>
      </c>
      <c r="B200" s="2" t="s">
        <v>918</v>
      </c>
      <c r="H200" s="2" t="s">
        <v>1027</v>
      </c>
    </row>
    <row r="201" spans="1:8" ht="45.75">
      <c r="A201" s="3" t="s">
        <v>1028</v>
      </c>
      <c r="B201" s="3" t="s">
        <v>918</v>
      </c>
      <c r="H201" s="3" t="s">
        <v>1027</v>
      </c>
    </row>
    <row r="202" spans="1:8" ht="45.75">
      <c r="A202" s="2" t="s">
        <v>1029</v>
      </c>
      <c r="B202" s="2" t="s">
        <v>918</v>
      </c>
      <c r="H202" s="2" t="s">
        <v>1027</v>
      </c>
    </row>
    <row r="203" spans="1:8" ht="45.75">
      <c r="A203" s="3" t="s">
        <v>1030</v>
      </c>
      <c r="B203" s="3" t="s">
        <v>918</v>
      </c>
      <c r="H203" s="3" t="s">
        <v>1027</v>
      </c>
    </row>
    <row r="204" spans="1:8" ht="45.75">
      <c r="A204" s="2" t="s">
        <v>1031</v>
      </c>
      <c r="B204" s="2" t="s">
        <v>918</v>
      </c>
      <c r="H204" s="2" t="s">
        <v>1027</v>
      </c>
    </row>
    <row r="205" spans="1:8" ht="45.75">
      <c r="A205" s="3" t="s">
        <v>1032</v>
      </c>
      <c r="B205" s="3" t="s">
        <v>918</v>
      </c>
      <c r="H205" s="3" t="s">
        <v>1027</v>
      </c>
    </row>
    <row r="206" spans="1:8" ht="45.75">
      <c r="A206" s="2" t="s">
        <v>1033</v>
      </c>
      <c r="B206" s="2" t="s">
        <v>918</v>
      </c>
      <c r="H206" s="2" t="s">
        <v>1027</v>
      </c>
    </row>
    <row r="207" spans="1:8" ht="45.75">
      <c r="A207" s="3" t="s">
        <v>1034</v>
      </c>
      <c r="B207" s="3" t="s">
        <v>1035</v>
      </c>
      <c r="H207" s="3" t="s">
        <v>1027</v>
      </c>
    </row>
    <row r="208" spans="1:8" ht="30.75">
      <c r="A208" s="2" t="s">
        <v>1036</v>
      </c>
      <c r="B208" s="2" t="s">
        <v>1037</v>
      </c>
      <c r="H208" s="2" t="s">
        <v>1027</v>
      </c>
    </row>
    <row r="209" spans="1:8" ht="45.75">
      <c r="A209" s="3" t="s">
        <v>1038</v>
      </c>
      <c r="B209" s="3" t="s">
        <v>918</v>
      </c>
      <c r="H209" s="3" t="s">
        <v>1027</v>
      </c>
    </row>
    <row r="210" spans="1:8" ht="137.25">
      <c r="A210" s="2" t="s">
        <v>1039</v>
      </c>
      <c r="B210" s="2" t="s">
        <v>1040</v>
      </c>
      <c r="H210" s="2" t="s">
        <v>956</v>
      </c>
    </row>
    <row r="211" spans="1:8" ht="137.25">
      <c r="A211" s="3" t="s">
        <v>1041</v>
      </c>
      <c r="B211" s="3" t="s">
        <v>1042</v>
      </c>
      <c r="H211" s="3" t="s">
        <v>956</v>
      </c>
    </row>
    <row r="212" spans="1:8" ht="91.5">
      <c r="A212" s="2" t="s">
        <v>1043</v>
      </c>
      <c r="B212" s="2" t="s">
        <v>1044</v>
      </c>
      <c r="H212" s="2" t="s">
        <v>1008</v>
      </c>
    </row>
    <row r="213" spans="1:8" ht="91.5">
      <c r="A213" s="3" t="s">
        <v>1045</v>
      </c>
      <c r="B213" s="3" t="s">
        <v>1046</v>
      </c>
      <c r="H213" s="3" t="s">
        <v>1008</v>
      </c>
    </row>
    <row r="214" spans="1:8" ht="106.5">
      <c r="A214" s="2" t="s">
        <v>1047</v>
      </c>
      <c r="B214" s="2" t="s">
        <v>1048</v>
      </c>
      <c r="H214" s="2" t="s">
        <v>1008</v>
      </c>
    </row>
  </sheetData>
  <mergeCells count="9">
    <mergeCell ref="A66:G66"/>
    <mergeCell ref="A80:C80"/>
    <mergeCell ref="A95:C95"/>
    <mergeCell ref="A107:D107"/>
    <mergeCell ref="A1:H1"/>
    <mergeCell ref="A2:H2"/>
    <mergeCell ref="A4:C4"/>
    <mergeCell ref="A25:S25"/>
    <mergeCell ref="A50:C50"/>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115"/>
  <sheetViews>
    <sheetView showGridLines="0" zoomScaleNormal="100" workbookViewId="0">
      <pane ySplit="4" topLeftCell="A5" activePane="bottomLeft" state="frozen"/>
      <selection pane="bottomLeft"/>
    </sheetView>
  </sheetViews>
  <sheetFormatPr defaultColWidth="8.7109375" defaultRowHeight="15"/>
  <cols>
    <col min="1" max="1" width="30" customWidth="1"/>
    <col min="2" max="3" width="44" customWidth="1"/>
    <col min="4" max="8" width="24" customWidth="1"/>
    <col min="9" max="39" width="28" customWidth="1"/>
  </cols>
  <sheetData>
    <row r="1" spans="1:8" ht="27.75" customHeight="1">
      <c r="A1" s="12" t="s">
        <v>17</v>
      </c>
      <c r="B1" s="12"/>
      <c r="C1" s="12"/>
      <c r="D1" s="12"/>
      <c r="E1" s="12"/>
      <c r="F1" s="12"/>
      <c r="G1" s="12"/>
      <c r="H1" s="12"/>
    </row>
    <row r="2" spans="1:8" ht="33.75" customHeight="1">
      <c r="A2" s="13" t="s">
        <v>18</v>
      </c>
      <c r="B2" s="13"/>
      <c r="C2" s="13"/>
      <c r="D2" s="13"/>
      <c r="E2" s="13"/>
      <c r="F2" s="13"/>
      <c r="G2" s="13"/>
      <c r="H2" s="13"/>
    </row>
    <row r="4" spans="1:8" ht="22.5" customHeight="1">
      <c r="A4" s="11" t="s">
        <v>1049</v>
      </c>
      <c r="B4" s="11"/>
      <c r="C4" s="11"/>
    </row>
    <row r="5" spans="1:8" ht="36" customHeight="1">
      <c r="A5" s="4" t="s">
        <v>1050</v>
      </c>
    </row>
    <row r="6" spans="1:8" ht="36" customHeight="1">
      <c r="A6" s="3" t="s">
        <v>1051</v>
      </c>
    </row>
    <row r="7" spans="1:8" ht="36" customHeight="1">
      <c r="A7" s="2" t="s">
        <v>1052</v>
      </c>
      <c r="B7" s="2" t="s">
        <v>1053</v>
      </c>
    </row>
    <row r="8" spans="1:8" ht="36" customHeight="1">
      <c r="A8" s="3" t="s">
        <v>1054</v>
      </c>
      <c r="B8" s="3" t="s">
        <v>1055</v>
      </c>
    </row>
    <row r="9" spans="1:8" ht="36" customHeight="1">
      <c r="A9" s="2" t="s">
        <v>1056</v>
      </c>
      <c r="B9" s="2" t="s">
        <v>1057</v>
      </c>
    </row>
    <row r="10" spans="1:8" ht="36" customHeight="1">
      <c r="A10" s="3" t="s">
        <v>1058</v>
      </c>
      <c r="B10" s="3" t="s">
        <v>1059</v>
      </c>
    </row>
    <row r="11" spans="1:8" ht="36" customHeight="1">
      <c r="A11" s="2" t="s">
        <v>1060</v>
      </c>
      <c r="B11" s="2" t="s">
        <v>1061</v>
      </c>
    </row>
    <row r="12" spans="1:8" ht="36" customHeight="1">
      <c r="A12" s="3" t="s">
        <v>1062</v>
      </c>
      <c r="B12" s="3" t="s">
        <v>1063</v>
      </c>
    </row>
    <row r="13" spans="1:8" ht="36" customHeight="1">
      <c r="A13" s="2" t="s">
        <v>1064</v>
      </c>
      <c r="B13" s="2" t="s">
        <v>1065</v>
      </c>
    </row>
    <row r="14" spans="1:8" ht="36" customHeight="1">
      <c r="A14" s="3" t="s">
        <v>1066</v>
      </c>
      <c r="B14" s="3" t="s">
        <v>1067</v>
      </c>
    </row>
    <row r="15" spans="1:8" ht="36" customHeight="1">
      <c r="A15" s="2" t="s">
        <v>1068</v>
      </c>
      <c r="B15" s="2" t="s">
        <v>1069</v>
      </c>
    </row>
    <row r="16" spans="1:8" ht="36" customHeight="1">
      <c r="A16" s="3" t="s">
        <v>1070</v>
      </c>
      <c r="B16" s="3" t="s">
        <v>1071</v>
      </c>
    </row>
    <row r="17" spans="1:2" ht="36" customHeight="1">
      <c r="A17" s="2" t="s">
        <v>1072</v>
      </c>
      <c r="B17" s="2" t="s">
        <v>1073</v>
      </c>
    </row>
    <row r="18" spans="1:2" ht="36" customHeight="1">
      <c r="A18" s="3" t="s">
        <v>1074</v>
      </c>
      <c r="B18" s="3" t="s">
        <v>1075</v>
      </c>
    </row>
    <row r="19" spans="1:2" ht="36" customHeight="1">
      <c r="A19" s="2" t="s">
        <v>1076</v>
      </c>
      <c r="B19" s="2" t="s">
        <v>1077</v>
      </c>
    </row>
    <row r="20" spans="1:2" ht="36" customHeight="1">
      <c r="A20" s="3" t="s">
        <v>1078</v>
      </c>
      <c r="B20" s="3" t="s">
        <v>1079</v>
      </c>
    </row>
    <row r="21" spans="1:2" ht="36" customHeight="1">
      <c r="A21" s="2" t="s">
        <v>1080</v>
      </c>
      <c r="B21" s="2" t="s">
        <v>1081</v>
      </c>
    </row>
    <row r="22" spans="1:2" ht="36" customHeight="1">
      <c r="A22" s="3" t="s">
        <v>1082</v>
      </c>
      <c r="B22" s="3" t="s">
        <v>1083</v>
      </c>
    </row>
    <row r="23" spans="1:2" ht="36" customHeight="1">
      <c r="A23" s="2" t="s">
        <v>1084</v>
      </c>
      <c r="B23" s="2" t="s">
        <v>1085</v>
      </c>
    </row>
    <row r="24" spans="1:2" ht="36" customHeight="1">
      <c r="A24" s="3" t="s">
        <v>1086</v>
      </c>
      <c r="B24" s="3" t="s">
        <v>1087</v>
      </c>
    </row>
    <row r="25" spans="1:2" ht="36" customHeight="1">
      <c r="A25" s="2" t="s">
        <v>1088</v>
      </c>
      <c r="B25" s="2" t="s">
        <v>1089</v>
      </c>
    </row>
    <row r="26" spans="1:2" ht="36" customHeight="1">
      <c r="A26" s="3" t="s">
        <v>1090</v>
      </c>
      <c r="B26" s="3" t="s">
        <v>1091</v>
      </c>
    </row>
    <row r="27" spans="1:2" ht="36" customHeight="1">
      <c r="A27" s="2" t="s">
        <v>1092</v>
      </c>
      <c r="B27" s="2" t="s">
        <v>1093</v>
      </c>
    </row>
    <row r="28" spans="1:2" ht="36" customHeight="1">
      <c r="A28" s="3" t="s">
        <v>496</v>
      </c>
      <c r="B28" s="3" t="s">
        <v>1094</v>
      </c>
    </row>
    <row r="29" spans="1:2" ht="36" customHeight="1">
      <c r="A29" s="2" t="s">
        <v>1095</v>
      </c>
      <c r="B29" s="2" t="s">
        <v>1096</v>
      </c>
    </row>
    <row r="30" spans="1:2" ht="36" customHeight="1">
      <c r="A30" s="3" t="s">
        <v>1097</v>
      </c>
      <c r="B30" s="3" t="s">
        <v>1098</v>
      </c>
    </row>
    <row r="31" spans="1:2" ht="36" customHeight="1">
      <c r="A31" s="2" t="s">
        <v>1099</v>
      </c>
      <c r="B31" s="2" t="s">
        <v>1100</v>
      </c>
    </row>
    <row r="32" spans="1:2" ht="36" customHeight="1">
      <c r="A32" s="3" t="s">
        <v>1101</v>
      </c>
      <c r="B32" s="3" t="s">
        <v>1102</v>
      </c>
    </row>
    <row r="33" spans="1:3" ht="36" customHeight="1">
      <c r="A33" s="2" t="s">
        <v>40</v>
      </c>
      <c r="B33" s="2" t="s">
        <v>232</v>
      </c>
    </row>
    <row r="34" spans="1:3" ht="36" customHeight="1">
      <c r="A34" s="3" t="s">
        <v>40</v>
      </c>
      <c r="B34" s="3" t="s">
        <v>1103</v>
      </c>
      <c r="C34" s="3" t="s">
        <v>42</v>
      </c>
    </row>
    <row r="35" spans="1:3" ht="36" customHeight="1">
      <c r="A35" s="2" t="s">
        <v>1104</v>
      </c>
      <c r="B35" s="2" t="s">
        <v>1105</v>
      </c>
      <c r="C35" s="2" t="s">
        <v>46</v>
      </c>
    </row>
    <row r="36" spans="1:3" ht="36" customHeight="1">
      <c r="A36" s="3" t="s">
        <v>129</v>
      </c>
      <c r="B36" s="3" t="s">
        <v>1106</v>
      </c>
      <c r="C36" s="3" t="s">
        <v>46</v>
      </c>
    </row>
    <row r="37" spans="1:3" ht="36" customHeight="1">
      <c r="A37" s="2" t="s">
        <v>1107</v>
      </c>
      <c r="B37" s="2" t="s">
        <v>1108</v>
      </c>
      <c r="C37" s="2" t="s">
        <v>46</v>
      </c>
    </row>
    <row r="38" spans="1:3" ht="36" customHeight="1">
      <c r="A38" s="3" t="s">
        <v>1109</v>
      </c>
      <c r="B38" s="3" t="s">
        <v>1110</v>
      </c>
      <c r="C38" s="3" t="s">
        <v>46</v>
      </c>
    </row>
    <row r="39" spans="1:3" ht="36" customHeight="1">
      <c r="A39" s="2" t="s">
        <v>1111</v>
      </c>
      <c r="B39" s="2" t="s">
        <v>1112</v>
      </c>
      <c r="C39" s="2" t="s">
        <v>46</v>
      </c>
    </row>
    <row r="40" spans="1:3" ht="36" customHeight="1">
      <c r="A40" s="3" t="s">
        <v>1068</v>
      </c>
      <c r="B40" s="3" t="s">
        <v>1113</v>
      </c>
      <c r="C40" s="3" t="s">
        <v>46</v>
      </c>
    </row>
    <row r="41" spans="1:3" ht="36" customHeight="1">
      <c r="A41" s="2" t="s">
        <v>1114</v>
      </c>
      <c r="B41" s="2" t="s">
        <v>1115</v>
      </c>
      <c r="C41" s="2" t="s">
        <v>46</v>
      </c>
    </row>
    <row r="42" spans="1:3" ht="36" customHeight="1">
      <c r="A42" s="3" t="s">
        <v>1116</v>
      </c>
      <c r="B42" s="3" t="s">
        <v>1117</v>
      </c>
      <c r="C42" s="3" t="s">
        <v>46</v>
      </c>
    </row>
    <row r="43" spans="1:3" ht="36" customHeight="1">
      <c r="A43" s="2" t="s">
        <v>1118</v>
      </c>
      <c r="B43" s="2" t="s">
        <v>1119</v>
      </c>
      <c r="C43" s="2" t="s">
        <v>46</v>
      </c>
    </row>
    <row r="44" spans="1:3" ht="36" customHeight="1">
      <c r="A44" s="3" t="s">
        <v>137</v>
      </c>
      <c r="B44" s="3" t="s">
        <v>1120</v>
      </c>
      <c r="C44" s="3" t="s">
        <v>46</v>
      </c>
    </row>
    <row r="45" spans="1:3" ht="36" customHeight="1">
      <c r="A45" s="2" t="s">
        <v>1121</v>
      </c>
      <c r="B45" s="2" t="s">
        <v>1122</v>
      </c>
      <c r="C45" s="2" t="s">
        <v>1123</v>
      </c>
    </row>
    <row r="46" spans="1:3" ht="36" customHeight="1">
      <c r="A46" s="3" t="s">
        <v>1124</v>
      </c>
      <c r="B46" s="3" t="s">
        <v>1125</v>
      </c>
      <c r="C46" s="3" t="s">
        <v>1126</v>
      </c>
    </row>
    <row r="47" spans="1:3" ht="36" customHeight="1">
      <c r="A47" s="2" t="s">
        <v>1127</v>
      </c>
      <c r="B47" s="2" t="s">
        <v>1128</v>
      </c>
    </row>
    <row r="48" spans="1:3" ht="36" customHeight="1">
      <c r="A48" s="3" t="s">
        <v>1058</v>
      </c>
      <c r="B48" s="3" t="s">
        <v>1129</v>
      </c>
    </row>
    <row r="49" spans="1:3" ht="36" customHeight="1">
      <c r="A49" s="2" t="s">
        <v>1130</v>
      </c>
      <c r="B49" s="2" t="s">
        <v>1131</v>
      </c>
    </row>
    <row r="50" spans="1:3" ht="36" customHeight="1">
      <c r="A50" s="3" t="s">
        <v>1132</v>
      </c>
      <c r="B50" s="3" t="s">
        <v>670</v>
      </c>
    </row>
    <row r="51" spans="1:3" ht="36" customHeight="1">
      <c r="A51" s="2" t="s">
        <v>1133</v>
      </c>
      <c r="B51" s="2" t="s">
        <v>670</v>
      </c>
    </row>
    <row r="52" spans="1:3" ht="36" customHeight="1">
      <c r="A52" s="3" t="s">
        <v>1064</v>
      </c>
      <c r="B52" s="3" t="s">
        <v>1134</v>
      </c>
    </row>
    <row r="53" spans="1:3" ht="36" customHeight="1">
      <c r="A53" s="2" t="s">
        <v>1066</v>
      </c>
      <c r="B53" s="2" t="s">
        <v>1135</v>
      </c>
    </row>
    <row r="54" spans="1:3" ht="36" customHeight="1">
      <c r="A54" s="3" t="s">
        <v>1068</v>
      </c>
      <c r="B54" s="3" t="s">
        <v>1136</v>
      </c>
    </row>
    <row r="55" spans="1:3" ht="36" customHeight="1">
      <c r="A55" s="2" t="s">
        <v>1062</v>
      </c>
      <c r="B55" s="2" t="s">
        <v>1137</v>
      </c>
    </row>
    <row r="56" spans="1:3" ht="36" customHeight="1">
      <c r="A56" s="3" t="s">
        <v>1138</v>
      </c>
      <c r="B56" s="3" t="s">
        <v>1139</v>
      </c>
    </row>
    <row r="57" spans="1:3" ht="36" customHeight="1">
      <c r="A57" s="2" t="s">
        <v>1140</v>
      </c>
      <c r="B57" s="2" t="s">
        <v>1141</v>
      </c>
    </row>
    <row r="58" spans="1:3" ht="36" customHeight="1">
      <c r="A58" s="3" t="s">
        <v>1142</v>
      </c>
      <c r="B58" s="3" t="s">
        <v>1143</v>
      </c>
    </row>
    <row r="59" spans="1:3" ht="36" customHeight="1">
      <c r="A59" s="2" t="s">
        <v>276</v>
      </c>
      <c r="B59" s="2" t="s">
        <v>1144</v>
      </c>
    </row>
    <row r="60" spans="1:3" ht="36" customHeight="1">
      <c r="A60" s="3" t="s">
        <v>1145</v>
      </c>
      <c r="B60" s="3" t="s">
        <v>1146</v>
      </c>
    </row>
    <row r="61" spans="1:3" ht="36" customHeight="1">
      <c r="A61" s="2" t="s">
        <v>1147</v>
      </c>
      <c r="B61" s="2" t="s">
        <v>1148</v>
      </c>
    </row>
    <row r="62" spans="1:3" ht="36" customHeight="1">
      <c r="A62" s="3" t="s">
        <v>1149</v>
      </c>
      <c r="B62" s="3" t="s">
        <v>1150</v>
      </c>
    </row>
    <row r="63" spans="1:3" ht="36" customHeight="1">
      <c r="A63" s="2" t="s">
        <v>1151</v>
      </c>
      <c r="B63" s="2" t="s">
        <v>1152</v>
      </c>
      <c r="C63" s="2" t="s">
        <v>1123</v>
      </c>
    </row>
    <row r="65" spans="1:39" ht="22.5" customHeight="1">
      <c r="A65" s="11" t="s">
        <v>1153</v>
      </c>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row>
    <row r="66" spans="1:39" ht="36" customHeight="1">
      <c r="A66" s="4" t="s">
        <v>1154</v>
      </c>
    </row>
    <row r="67" spans="1:39" ht="36" customHeight="1">
      <c r="A67" s="3" t="s">
        <v>1155</v>
      </c>
    </row>
    <row r="68" spans="1:39" ht="36" customHeight="1">
      <c r="A68" s="2" t="s">
        <v>1156</v>
      </c>
      <c r="B68" s="2" t="s">
        <v>1054</v>
      </c>
      <c r="C68" s="2" t="s">
        <v>1157</v>
      </c>
      <c r="D68" s="2" t="s">
        <v>1056</v>
      </c>
      <c r="E68" s="2" t="s">
        <v>1058</v>
      </c>
      <c r="F68" s="2" t="s">
        <v>1060</v>
      </c>
      <c r="G68" s="2" t="s">
        <v>1062</v>
      </c>
      <c r="H68" s="2" t="s">
        <v>1064</v>
      </c>
      <c r="I68" s="2" t="s">
        <v>1066</v>
      </c>
      <c r="J68" s="2" t="s">
        <v>1068</v>
      </c>
      <c r="K68" s="2" t="s">
        <v>1158</v>
      </c>
      <c r="L68" s="2" t="s">
        <v>1072</v>
      </c>
      <c r="M68" s="2" t="s">
        <v>1074</v>
      </c>
      <c r="N68" s="2" t="s">
        <v>1076</v>
      </c>
      <c r="O68" s="2" t="s">
        <v>1078</v>
      </c>
      <c r="P68" s="2" t="s">
        <v>1080</v>
      </c>
      <c r="Q68" s="2" t="s">
        <v>1082</v>
      </c>
      <c r="R68" s="2" t="s">
        <v>1084</v>
      </c>
      <c r="S68" s="2" t="s">
        <v>1159</v>
      </c>
      <c r="T68" s="2" t="s">
        <v>1088</v>
      </c>
      <c r="U68" s="2" t="s">
        <v>1160</v>
      </c>
      <c r="V68" s="2" t="s">
        <v>753</v>
      </c>
      <c r="W68" s="2" t="s">
        <v>496</v>
      </c>
      <c r="X68" s="2" t="s">
        <v>1090</v>
      </c>
      <c r="Y68" s="2" t="s">
        <v>1092</v>
      </c>
      <c r="Z68" s="2" t="s">
        <v>583</v>
      </c>
      <c r="AA68" s="2" t="s">
        <v>1161</v>
      </c>
      <c r="AB68" s="2" t="s">
        <v>1095</v>
      </c>
      <c r="AC68" s="2" t="s">
        <v>1097</v>
      </c>
      <c r="AD68" s="2" t="s">
        <v>1162</v>
      </c>
      <c r="AE68" s="2" t="s">
        <v>1163</v>
      </c>
      <c r="AF68" s="2" t="s">
        <v>1164</v>
      </c>
      <c r="AG68" s="2" t="s">
        <v>1165</v>
      </c>
      <c r="AH68" s="2" t="s">
        <v>1099</v>
      </c>
      <c r="AI68" s="2" t="s">
        <v>1101</v>
      </c>
      <c r="AJ68" s="2" t="s">
        <v>1166</v>
      </c>
      <c r="AK68" s="2" t="s">
        <v>1167</v>
      </c>
      <c r="AL68" s="2" t="s">
        <v>1168</v>
      </c>
      <c r="AM68" s="2" t="s">
        <v>1169</v>
      </c>
    </row>
    <row r="69" spans="1:39" ht="36" customHeight="1">
      <c r="A69" s="3" t="s">
        <v>1170</v>
      </c>
      <c r="B69" s="3" t="s">
        <v>1171</v>
      </c>
      <c r="C69" s="3" t="s">
        <v>1172</v>
      </c>
      <c r="D69" s="3" t="s">
        <v>1173</v>
      </c>
      <c r="E69" s="3" t="s">
        <v>1129</v>
      </c>
      <c r="F69" s="3" t="s">
        <v>256</v>
      </c>
      <c r="G69" s="3" t="s">
        <v>1174</v>
      </c>
      <c r="H69" s="3" t="s">
        <v>1175</v>
      </c>
      <c r="I69" s="3" t="s">
        <v>1136</v>
      </c>
      <c r="J69" s="3" t="s">
        <v>1136</v>
      </c>
      <c r="K69" s="3" t="s">
        <v>1176</v>
      </c>
      <c r="L69" s="3" t="s">
        <v>1177</v>
      </c>
      <c r="M69" s="3" t="s">
        <v>1178</v>
      </c>
      <c r="N69" s="3">
        <v>1</v>
      </c>
      <c r="O69" s="3">
        <v>0.5</v>
      </c>
      <c r="P69" s="3" t="s">
        <v>670</v>
      </c>
      <c r="Q69" s="3" t="s">
        <v>670</v>
      </c>
      <c r="R69" s="3" t="s">
        <v>1179</v>
      </c>
      <c r="S69" s="3" t="s">
        <v>1180</v>
      </c>
      <c r="T69" s="3">
        <v>1</v>
      </c>
      <c r="U69" s="3" t="s">
        <v>1181</v>
      </c>
      <c r="V69" s="3" t="s">
        <v>1179</v>
      </c>
      <c r="W69" s="3" t="s">
        <v>670</v>
      </c>
      <c r="X69" s="3" t="s">
        <v>1182</v>
      </c>
      <c r="Y69" s="3" t="s">
        <v>1183</v>
      </c>
      <c r="Z69" s="3" t="s">
        <v>670</v>
      </c>
      <c r="AA69" s="3" t="s">
        <v>670</v>
      </c>
      <c r="AB69" s="3" t="s">
        <v>1184</v>
      </c>
      <c r="AC69" s="3" t="s">
        <v>670</v>
      </c>
      <c r="AD69" s="3" t="s">
        <v>1185</v>
      </c>
      <c r="AE69" s="3" t="s">
        <v>1186</v>
      </c>
      <c r="AF69" s="3" t="s">
        <v>1187</v>
      </c>
      <c r="AG69" s="3" t="s">
        <v>1188</v>
      </c>
      <c r="AH69" s="3" t="s">
        <v>1189</v>
      </c>
      <c r="AI69" s="3" t="s">
        <v>1190</v>
      </c>
      <c r="AJ69" s="3" t="s">
        <v>1191</v>
      </c>
      <c r="AK69" s="3" t="s">
        <v>1192</v>
      </c>
      <c r="AL69" s="3" t="str">
        <f ca="1">IF(COUNTA(A69:AM69)=39,"OK","CHECK")</f>
        <v>OK</v>
      </c>
      <c r="AM69" s="3" t="s">
        <v>1193</v>
      </c>
    </row>
    <row r="70" spans="1:39" ht="36" customHeight="1">
      <c r="A70" s="2" t="s">
        <v>1194</v>
      </c>
      <c r="B70" s="2" t="s">
        <v>1195</v>
      </c>
      <c r="C70" s="2" t="s">
        <v>1172</v>
      </c>
      <c r="D70" s="2" t="s">
        <v>1196</v>
      </c>
      <c r="E70" s="2" t="s">
        <v>1129</v>
      </c>
      <c r="F70" s="2" t="s">
        <v>256</v>
      </c>
      <c r="G70" s="2" t="s">
        <v>1197</v>
      </c>
      <c r="H70" s="2" t="s">
        <v>1198</v>
      </c>
      <c r="I70" s="2" t="s">
        <v>1199</v>
      </c>
      <c r="J70" s="2" t="s">
        <v>1136</v>
      </c>
      <c r="K70" s="2" t="s">
        <v>1200</v>
      </c>
      <c r="L70" s="2" t="s">
        <v>1201</v>
      </c>
      <c r="M70" s="2" t="s">
        <v>1202</v>
      </c>
      <c r="N70" s="2">
        <v>0.75</v>
      </c>
      <c r="O70" s="2">
        <v>0.25</v>
      </c>
      <c r="P70" s="2" t="s">
        <v>670</v>
      </c>
      <c r="Q70" s="2" t="s">
        <v>670</v>
      </c>
      <c r="R70" s="2" t="s">
        <v>1179</v>
      </c>
      <c r="S70" s="2" t="s">
        <v>1180</v>
      </c>
      <c r="T70" s="2">
        <v>1</v>
      </c>
      <c r="U70" s="2" t="s">
        <v>1203</v>
      </c>
      <c r="V70" s="2" t="s">
        <v>1179</v>
      </c>
      <c r="W70" s="2" t="s">
        <v>670</v>
      </c>
      <c r="X70" s="2" t="s">
        <v>1204</v>
      </c>
      <c r="Y70" s="2" t="s">
        <v>1205</v>
      </c>
      <c r="Z70" s="2" t="s">
        <v>670</v>
      </c>
      <c r="AA70" s="2" t="s">
        <v>670</v>
      </c>
      <c r="AB70" s="2" t="s">
        <v>1206</v>
      </c>
      <c r="AC70" s="2" t="s">
        <v>670</v>
      </c>
      <c r="AD70" s="2" t="s">
        <v>1185</v>
      </c>
      <c r="AE70" s="2" t="s">
        <v>1186</v>
      </c>
      <c r="AF70" s="2" t="s">
        <v>1187</v>
      </c>
      <c r="AG70" s="2" t="s">
        <v>1188</v>
      </c>
      <c r="AH70" s="2" t="s">
        <v>1189</v>
      </c>
      <c r="AI70" s="2" t="s">
        <v>670</v>
      </c>
      <c r="AJ70" s="2" t="s">
        <v>1191</v>
      </c>
      <c r="AK70" s="2" t="s">
        <v>1192</v>
      </c>
      <c r="AL70" s="2" t="str">
        <f ca="1">IF(COUNTA(A70:AM70)=39,"OK","CHECK")</f>
        <v>OK</v>
      </c>
      <c r="AM70" s="2" t="s">
        <v>1193</v>
      </c>
    </row>
    <row r="71" spans="1:39" ht="36" customHeight="1">
      <c r="A71" s="3" t="s">
        <v>1207</v>
      </c>
      <c r="B71" s="3" t="s">
        <v>1208</v>
      </c>
      <c r="C71" s="3" t="s">
        <v>1172</v>
      </c>
      <c r="D71" s="3" t="s">
        <v>1209</v>
      </c>
      <c r="E71" s="3" t="s">
        <v>1210</v>
      </c>
      <c r="F71" s="3" t="s">
        <v>256</v>
      </c>
      <c r="G71" s="3" t="s">
        <v>1211</v>
      </c>
      <c r="H71" s="3" t="s">
        <v>1212</v>
      </c>
      <c r="I71" s="3" t="s">
        <v>1199</v>
      </c>
      <c r="J71" s="3" t="s">
        <v>1136</v>
      </c>
      <c r="K71" s="3" t="s">
        <v>1213</v>
      </c>
      <c r="L71" s="3" t="s">
        <v>670</v>
      </c>
      <c r="M71" s="3" t="s">
        <v>1214</v>
      </c>
      <c r="N71" s="3">
        <v>0.5</v>
      </c>
      <c r="O71" s="3" t="s">
        <v>670</v>
      </c>
      <c r="P71" s="3" t="s">
        <v>670</v>
      </c>
      <c r="Q71" s="3" t="s">
        <v>670</v>
      </c>
      <c r="R71" s="3" t="s">
        <v>1179</v>
      </c>
      <c r="S71" s="3" t="s">
        <v>1215</v>
      </c>
      <c r="T71" s="3">
        <v>1</v>
      </c>
      <c r="U71" s="3" t="s">
        <v>1181</v>
      </c>
      <c r="V71" s="3" t="s">
        <v>1179</v>
      </c>
      <c r="W71" s="3" t="s">
        <v>670</v>
      </c>
      <c r="X71" s="3" t="s">
        <v>1216</v>
      </c>
      <c r="Y71" s="3" t="s">
        <v>1217</v>
      </c>
      <c r="Z71" s="3" t="s">
        <v>670</v>
      </c>
      <c r="AA71" s="3" t="s">
        <v>670</v>
      </c>
      <c r="AB71" s="3" t="s">
        <v>1218</v>
      </c>
      <c r="AC71" s="3" t="s">
        <v>670</v>
      </c>
      <c r="AD71" s="3" t="s">
        <v>1185</v>
      </c>
      <c r="AE71" s="3" t="s">
        <v>1186</v>
      </c>
      <c r="AF71" s="3" t="s">
        <v>1187</v>
      </c>
      <c r="AG71" s="3" t="s">
        <v>1188</v>
      </c>
      <c r="AH71" s="3" t="s">
        <v>1189</v>
      </c>
      <c r="AI71" s="3" t="s">
        <v>670</v>
      </c>
      <c r="AJ71" s="3" t="s">
        <v>1191</v>
      </c>
      <c r="AK71" s="3" t="s">
        <v>1192</v>
      </c>
      <c r="AL71" s="3" t="str">
        <f ca="1">IF(COUNTA(A71:AM71)=39,"OK","CHECK")</f>
        <v>OK</v>
      </c>
      <c r="AM71" s="3" t="s">
        <v>1193</v>
      </c>
    </row>
    <row r="72" spans="1:39" ht="36" customHeight="1">
      <c r="A72" s="2" t="s">
        <v>1219</v>
      </c>
      <c r="B72" s="2" t="s">
        <v>1220</v>
      </c>
      <c r="C72" s="2" t="s">
        <v>1172</v>
      </c>
      <c r="D72" s="2" t="s">
        <v>1221</v>
      </c>
      <c r="E72" s="2" t="s">
        <v>1222</v>
      </c>
      <c r="F72" s="2" t="s">
        <v>256</v>
      </c>
      <c r="G72" s="2" t="s">
        <v>1223</v>
      </c>
      <c r="H72" s="2" t="s">
        <v>1224</v>
      </c>
      <c r="I72" s="2" t="s">
        <v>1225</v>
      </c>
      <c r="J72" s="2" t="s">
        <v>1136</v>
      </c>
      <c r="K72" s="2" t="s">
        <v>1226</v>
      </c>
      <c r="L72" s="2" t="s">
        <v>670</v>
      </c>
      <c r="M72" s="2" t="s">
        <v>1227</v>
      </c>
      <c r="N72" s="2">
        <v>0.6</v>
      </c>
      <c r="O72" s="2" t="s">
        <v>670</v>
      </c>
      <c r="P72" s="2" t="s">
        <v>670</v>
      </c>
      <c r="Q72" s="2" t="s">
        <v>670</v>
      </c>
      <c r="R72" s="2" t="s">
        <v>1179</v>
      </c>
      <c r="S72" s="2" t="s">
        <v>1215</v>
      </c>
      <c r="T72" s="2">
        <v>1</v>
      </c>
      <c r="U72" s="2" t="s">
        <v>1228</v>
      </c>
      <c r="V72" s="2" t="s">
        <v>1179</v>
      </c>
      <c r="W72" s="2" t="s">
        <v>670</v>
      </c>
      <c r="X72" s="2" t="s">
        <v>1229</v>
      </c>
      <c r="Y72" s="2" t="s">
        <v>1230</v>
      </c>
      <c r="Z72" s="2" t="s">
        <v>670</v>
      </c>
      <c r="AA72" s="2" t="s">
        <v>670</v>
      </c>
      <c r="AB72" s="2" t="s">
        <v>1231</v>
      </c>
      <c r="AC72" s="2" t="s">
        <v>670</v>
      </c>
      <c r="AD72" s="2" t="s">
        <v>1185</v>
      </c>
      <c r="AE72" s="2" t="s">
        <v>1186</v>
      </c>
      <c r="AF72" s="2" t="s">
        <v>1187</v>
      </c>
      <c r="AG72" s="2" t="s">
        <v>1188</v>
      </c>
      <c r="AH72" s="2" t="s">
        <v>1189</v>
      </c>
      <c r="AI72" s="2" t="s">
        <v>670</v>
      </c>
      <c r="AJ72" s="2" t="s">
        <v>1191</v>
      </c>
      <c r="AK72" s="2" t="s">
        <v>1192</v>
      </c>
      <c r="AL72" s="2" t="str">
        <f ca="1">IF(COUNTA(A72:AM72)=39,"OK","CHECK")</f>
        <v>OK</v>
      </c>
      <c r="AM72" s="2" t="s">
        <v>1193</v>
      </c>
    </row>
    <row r="73" spans="1:39" ht="36" customHeight="1">
      <c r="A73" s="3" t="s">
        <v>1232</v>
      </c>
      <c r="B73" s="3" t="s">
        <v>1233</v>
      </c>
      <c r="C73" s="3" t="s">
        <v>1172</v>
      </c>
      <c r="D73" s="3" t="s">
        <v>1234</v>
      </c>
      <c r="E73" s="3" t="s">
        <v>1210</v>
      </c>
      <c r="F73" s="3" t="s">
        <v>256</v>
      </c>
      <c r="G73" s="3" t="s">
        <v>1211</v>
      </c>
      <c r="H73" s="3" t="s">
        <v>1212</v>
      </c>
      <c r="I73" s="3" t="s">
        <v>1136</v>
      </c>
      <c r="J73" s="3" t="s">
        <v>1199</v>
      </c>
      <c r="K73" s="3" t="s">
        <v>1235</v>
      </c>
      <c r="L73" s="3" t="s">
        <v>670</v>
      </c>
      <c r="M73" s="3" t="s">
        <v>670</v>
      </c>
      <c r="N73" s="3">
        <v>0.5</v>
      </c>
      <c r="O73" s="3" t="s">
        <v>670</v>
      </c>
      <c r="P73" s="3">
        <v>1.5</v>
      </c>
      <c r="Q73" s="3" t="s">
        <v>670</v>
      </c>
      <c r="R73" s="3" t="s">
        <v>1179</v>
      </c>
      <c r="S73" s="3" t="s">
        <v>1215</v>
      </c>
      <c r="T73" s="3">
        <v>0.5</v>
      </c>
      <c r="U73" s="3" t="s">
        <v>1236</v>
      </c>
      <c r="V73" s="3" t="s">
        <v>1179</v>
      </c>
      <c r="W73" s="3" t="s">
        <v>670</v>
      </c>
      <c r="X73" s="3" t="s">
        <v>1237</v>
      </c>
      <c r="Y73" s="3" t="s">
        <v>1238</v>
      </c>
      <c r="Z73" s="3" t="s">
        <v>670</v>
      </c>
      <c r="AA73" s="3" t="s">
        <v>670</v>
      </c>
      <c r="AB73" s="3" t="s">
        <v>1239</v>
      </c>
      <c r="AC73" s="3" t="s">
        <v>670</v>
      </c>
      <c r="AD73" s="3" t="s">
        <v>1185</v>
      </c>
      <c r="AE73" s="3" t="s">
        <v>1186</v>
      </c>
      <c r="AF73" s="3" t="s">
        <v>1187</v>
      </c>
      <c r="AG73" s="3" t="s">
        <v>1188</v>
      </c>
      <c r="AH73" s="3" t="s">
        <v>1189</v>
      </c>
      <c r="AI73" s="3" t="s">
        <v>670</v>
      </c>
      <c r="AJ73" s="3" t="s">
        <v>1191</v>
      </c>
      <c r="AK73" s="3" t="s">
        <v>1192</v>
      </c>
      <c r="AL73" s="3" t="str">
        <f ca="1">IF(COUNTA(A73:AM73)=39,"OK","CHECK")</f>
        <v>OK</v>
      </c>
      <c r="AM73" s="3" t="s">
        <v>1193</v>
      </c>
    </row>
    <row r="74" spans="1:39" ht="36" customHeight="1">
      <c r="A74" s="2" t="s">
        <v>1240</v>
      </c>
      <c r="B74" s="2" t="s">
        <v>1241</v>
      </c>
      <c r="C74" s="2" t="s">
        <v>1172</v>
      </c>
      <c r="D74" s="2" t="s">
        <v>1242</v>
      </c>
      <c r="E74" s="2" t="s">
        <v>1243</v>
      </c>
      <c r="F74" s="2" t="s">
        <v>256</v>
      </c>
      <c r="G74" s="2" t="s">
        <v>1244</v>
      </c>
      <c r="H74" s="2" t="s">
        <v>1245</v>
      </c>
      <c r="I74" s="2" t="s">
        <v>1136</v>
      </c>
      <c r="J74" s="2" t="s">
        <v>1246</v>
      </c>
      <c r="K74" s="2" t="s">
        <v>670</v>
      </c>
      <c r="L74" s="2" t="s">
        <v>670</v>
      </c>
      <c r="M74" s="2" t="s">
        <v>670</v>
      </c>
      <c r="N74" s="2" t="s">
        <v>670</v>
      </c>
      <c r="O74" s="2" t="s">
        <v>670</v>
      </c>
      <c r="P74" s="2" t="s">
        <v>670</v>
      </c>
      <c r="Q74" s="2" t="s">
        <v>670</v>
      </c>
      <c r="R74" s="2" t="s">
        <v>1247</v>
      </c>
      <c r="S74" s="2" t="s">
        <v>1215</v>
      </c>
      <c r="T74" s="2">
        <v>1</v>
      </c>
      <c r="U74" s="2" t="s">
        <v>1248</v>
      </c>
      <c r="V74" s="2" t="s">
        <v>1247</v>
      </c>
      <c r="W74" s="2" t="s">
        <v>1249</v>
      </c>
      <c r="X74" s="2" t="s">
        <v>1250</v>
      </c>
      <c r="Y74" s="2" t="s">
        <v>670</v>
      </c>
      <c r="Z74" s="2" t="s">
        <v>670</v>
      </c>
      <c r="AA74" s="2" t="s">
        <v>670</v>
      </c>
      <c r="AB74" s="2" t="s">
        <v>1251</v>
      </c>
      <c r="AC74" s="2" t="s">
        <v>670</v>
      </c>
      <c r="AD74" s="2" t="s">
        <v>1185</v>
      </c>
      <c r="AE74" s="2" t="s">
        <v>1186</v>
      </c>
      <c r="AF74" s="2" t="s">
        <v>1187</v>
      </c>
      <c r="AG74" s="2" t="s">
        <v>1188</v>
      </c>
      <c r="AH74" s="2" t="s">
        <v>1189</v>
      </c>
      <c r="AI74" s="2" t="s">
        <v>1252</v>
      </c>
      <c r="AJ74" s="2" t="s">
        <v>1191</v>
      </c>
      <c r="AK74" s="2" t="s">
        <v>1192</v>
      </c>
      <c r="AL74" s="2" t="str">
        <f ca="1">IF(COUNTA(A74:AM74)=39,"OK","CHECK")</f>
        <v>OK</v>
      </c>
      <c r="AM74" s="2" t="s">
        <v>1193</v>
      </c>
    </row>
    <row r="75" spans="1:39" ht="36" customHeight="1">
      <c r="A75" s="3" t="s">
        <v>1253</v>
      </c>
      <c r="B75" s="3" t="s">
        <v>1254</v>
      </c>
      <c r="C75" s="3" t="s">
        <v>1172</v>
      </c>
      <c r="D75" s="3" t="s">
        <v>1255</v>
      </c>
      <c r="E75" s="3" t="s">
        <v>1129</v>
      </c>
      <c r="F75" s="3" t="s">
        <v>256</v>
      </c>
      <c r="G75" s="3" t="s">
        <v>1174</v>
      </c>
      <c r="H75" s="3" t="s">
        <v>1256</v>
      </c>
      <c r="I75" s="3" t="s">
        <v>1257</v>
      </c>
      <c r="J75" s="3" t="s">
        <v>1199</v>
      </c>
      <c r="K75" s="3" t="s">
        <v>670</v>
      </c>
      <c r="L75" s="3" t="s">
        <v>670</v>
      </c>
      <c r="M75" s="3" t="s">
        <v>670</v>
      </c>
      <c r="N75" s="3">
        <v>1</v>
      </c>
      <c r="O75" s="3" t="s">
        <v>670</v>
      </c>
      <c r="P75" s="3" t="s">
        <v>670</v>
      </c>
      <c r="Q75" s="3" t="s">
        <v>670</v>
      </c>
      <c r="R75" s="3" t="s">
        <v>1179</v>
      </c>
      <c r="S75" s="3" t="s">
        <v>1215</v>
      </c>
      <c r="T75" s="3">
        <v>0.5</v>
      </c>
      <c r="U75" s="3" t="s">
        <v>1236</v>
      </c>
      <c r="V75" s="3" t="s">
        <v>1179</v>
      </c>
      <c r="W75" s="3" t="s">
        <v>670</v>
      </c>
      <c r="X75" s="3" t="s">
        <v>1258</v>
      </c>
      <c r="Y75" s="3" t="s">
        <v>670</v>
      </c>
      <c r="Z75" s="3" t="s">
        <v>670</v>
      </c>
      <c r="AA75" s="3" t="s">
        <v>670</v>
      </c>
      <c r="AB75" s="3" t="s">
        <v>1259</v>
      </c>
      <c r="AC75" s="3" t="s">
        <v>670</v>
      </c>
      <c r="AD75" s="3" t="s">
        <v>1185</v>
      </c>
      <c r="AE75" s="3" t="s">
        <v>1186</v>
      </c>
      <c r="AF75" s="3" t="s">
        <v>1187</v>
      </c>
      <c r="AG75" s="3" t="s">
        <v>1188</v>
      </c>
      <c r="AH75" s="3" t="s">
        <v>1189</v>
      </c>
      <c r="AI75" s="3" t="s">
        <v>670</v>
      </c>
      <c r="AJ75" s="3" t="s">
        <v>1191</v>
      </c>
      <c r="AK75" s="3" t="s">
        <v>1192</v>
      </c>
      <c r="AL75" s="3" t="str">
        <f ca="1">IF(COUNTA(A75:AM75)=39,"OK","CHECK")</f>
        <v>OK</v>
      </c>
      <c r="AM75" s="3" t="s">
        <v>1193</v>
      </c>
    </row>
    <row r="76" spans="1:39" ht="36" customHeight="1">
      <c r="A76" s="2" t="s">
        <v>1260</v>
      </c>
      <c r="B76" s="2" t="s">
        <v>1261</v>
      </c>
      <c r="C76" s="2" t="s">
        <v>1172</v>
      </c>
      <c r="D76" s="2" t="s">
        <v>1262</v>
      </c>
      <c r="E76" s="2" t="s">
        <v>1129</v>
      </c>
      <c r="F76" s="2" t="s">
        <v>256</v>
      </c>
      <c r="G76" s="2" t="s">
        <v>1174</v>
      </c>
      <c r="H76" s="2" t="s">
        <v>1263</v>
      </c>
      <c r="I76" s="2" t="s">
        <v>1199</v>
      </c>
      <c r="J76" s="2" t="s">
        <v>1136</v>
      </c>
      <c r="K76" s="2" t="s">
        <v>1264</v>
      </c>
      <c r="L76" s="2" t="s">
        <v>1265</v>
      </c>
      <c r="M76" s="2" t="s">
        <v>1266</v>
      </c>
      <c r="N76" s="2">
        <v>1</v>
      </c>
      <c r="O76" s="2">
        <v>0.25</v>
      </c>
      <c r="P76" s="2" t="s">
        <v>670</v>
      </c>
      <c r="Q76" s="2" t="s">
        <v>670</v>
      </c>
      <c r="R76" s="2" t="s">
        <v>1267</v>
      </c>
      <c r="S76" s="2" t="s">
        <v>1215</v>
      </c>
      <c r="T76" s="2">
        <v>1</v>
      </c>
      <c r="U76" s="2" t="s">
        <v>1268</v>
      </c>
      <c r="V76" s="2" t="s">
        <v>1267</v>
      </c>
      <c r="W76" s="2" t="s">
        <v>670</v>
      </c>
      <c r="X76" s="2" t="s">
        <v>1269</v>
      </c>
      <c r="Y76" s="2" t="s">
        <v>1270</v>
      </c>
      <c r="Z76" s="2" t="s">
        <v>670</v>
      </c>
      <c r="AA76" s="2" t="s">
        <v>670</v>
      </c>
      <c r="AB76" s="2" t="s">
        <v>1271</v>
      </c>
      <c r="AC76" s="2" t="s">
        <v>670</v>
      </c>
      <c r="AD76" s="2" t="s">
        <v>1185</v>
      </c>
      <c r="AE76" s="2" t="s">
        <v>1186</v>
      </c>
      <c r="AF76" s="2" t="s">
        <v>1187</v>
      </c>
      <c r="AG76" s="2" t="s">
        <v>1188</v>
      </c>
      <c r="AH76" s="2" t="s">
        <v>1189</v>
      </c>
      <c r="AI76" s="2" t="s">
        <v>670</v>
      </c>
      <c r="AJ76" s="2" t="s">
        <v>1191</v>
      </c>
      <c r="AK76" s="2" t="s">
        <v>1192</v>
      </c>
      <c r="AL76" s="2" t="str">
        <f ca="1">IF(COUNTA(A76:AM76)=39,"OK","CHECK")</f>
        <v>OK</v>
      </c>
      <c r="AM76" s="2" t="s">
        <v>1193</v>
      </c>
    </row>
    <row r="77" spans="1:39" ht="36" customHeight="1">
      <c r="A77" s="3" t="s">
        <v>1272</v>
      </c>
      <c r="B77" s="3" t="s">
        <v>1273</v>
      </c>
      <c r="C77" s="3" t="s">
        <v>1172</v>
      </c>
      <c r="D77" s="3" t="s">
        <v>1274</v>
      </c>
      <c r="E77" s="3" t="s">
        <v>1243</v>
      </c>
      <c r="F77" s="3" t="s">
        <v>256</v>
      </c>
      <c r="G77" s="3" t="s">
        <v>1275</v>
      </c>
      <c r="H77" s="3" t="s">
        <v>1276</v>
      </c>
      <c r="I77" s="3" t="s">
        <v>1135</v>
      </c>
      <c r="J77" s="3" t="s">
        <v>1277</v>
      </c>
      <c r="K77" s="3" t="s">
        <v>1278</v>
      </c>
      <c r="L77" s="3" t="s">
        <v>1177</v>
      </c>
      <c r="M77" s="3" t="s">
        <v>1279</v>
      </c>
      <c r="N77" s="3">
        <v>1.4</v>
      </c>
      <c r="O77" s="3">
        <v>0.5</v>
      </c>
      <c r="P77" s="3" t="s">
        <v>670</v>
      </c>
      <c r="Q77" s="3" t="s">
        <v>670</v>
      </c>
      <c r="R77" s="3" t="s">
        <v>1280</v>
      </c>
      <c r="S77" s="3" t="s">
        <v>1281</v>
      </c>
      <c r="T77" s="3">
        <v>1</v>
      </c>
      <c r="U77" s="3" t="s">
        <v>1282</v>
      </c>
      <c r="V77" s="3" t="s">
        <v>1280</v>
      </c>
      <c r="W77" s="3" t="s">
        <v>1283</v>
      </c>
      <c r="X77" s="3" t="s">
        <v>1250</v>
      </c>
      <c r="Y77" s="3" t="s">
        <v>1284</v>
      </c>
      <c r="Z77" s="3" t="s">
        <v>670</v>
      </c>
      <c r="AA77" s="3" t="s">
        <v>670</v>
      </c>
      <c r="AB77" s="3" t="s">
        <v>1285</v>
      </c>
      <c r="AC77" s="3" t="s">
        <v>670</v>
      </c>
      <c r="AD77" s="3" t="s">
        <v>1185</v>
      </c>
      <c r="AE77" s="3" t="s">
        <v>1186</v>
      </c>
      <c r="AF77" s="3" t="s">
        <v>1187</v>
      </c>
      <c r="AG77" s="3" t="s">
        <v>1188</v>
      </c>
      <c r="AH77" s="3" t="s">
        <v>1189</v>
      </c>
      <c r="AI77" s="3" t="s">
        <v>670</v>
      </c>
      <c r="AJ77" s="3" t="s">
        <v>1191</v>
      </c>
      <c r="AK77" s="3" t="s">
        <v>1192</v>
      </c>
      <c r="AL77" s="3" t="str">
        <f ca="1">IF(COUNTA(A77:AM77)=39,"OK","CHECK")</f>
        <v>OK</v>
      </c>
      <c r="AM77" s="3" t="s">
        <v>1193</v>
      </c>
    </row>
    <row r="78" spans="1:39" ht="36" customHeight="1">
      <c r="A78" s="2" t="s">
        <v>1286</v>
      </c>
      <c r="B78" s="2" t="s">
        <v>1287</v>
      </c>
      <c r="C78" s="2" t="s">
        <v>1172</v>
      </c>
      <c r="D78" s="2" t="s">
        <v>1128</v>
      </c>
      <c r="E78" s="2" t="s">
        <v>1288</v>
      </c>
      <c r="F78" s="2" t="s">
        <v>256</v>
      </c>
      <c r="G78" s="2" t="s">
        <v>1289</v>
      </c>
      <c r="H78" s="2" t="s">
        <v>1212</v>
      </c>
      <c r="I78" s="2" t="s">
        <v>1136</v>
      </c>
      <c r="J78" s="2" t="s">
        <v>1225</v>
      </c>
      <c r="K78" s="2" t="s">
        <v>670</v>
      </c>
      <c r="L78" s="2" t="s">
        <v>670</v>
      </c>
      <c r="M78" s="2" t="s">
        <v>670</v>
      </c>
      <c r="N78" s="2" t="s">
        <v>670</v>
      </c>
      <c r="O78" s="2" t="s">
        <v>670</v>
      </c>
      <c r="P78" s="2" t="s">
        <v>670</v>
      </c>
      <c r="Q78" s="2" t="s">
        <v>670</v>
      </c>
      <c r="R78" s="2" t="s">
        <v>1179</v>
      </c>
      <c r="S78" s="2" t="s">
        <v>1215</v>
      </c>
      <c r="T78" s="2">
        <v>1</v>
      </c>
      <c r="U78" s="2" t="s">
        <v>1290</v>
      </c>
      <c r="V78" s="2" t="s">
        <v>1179</v>
      </c>
      <c r="W78" s="2" t="s">
        <v>670</v>
      </c>
      <c r="X78" s="2" t="s">
        <v>670</v>
      </c>
      <c r="Y78" s="2" t="s">
        <v>670</v>
      </c>
      <c r="Z78" s="2" t="s">
        <v>670</v>
      </c>
      <c r="AA78" s="2" t="s">
        <v>670</v>
      </c>
      <c r="AB78" s="2" t="s">
        <v>1291</v>
      </c>
      <c r="AC78" s="2" t="s">
        <v>670</v>
      </c>
      <c r="AD78" s="2" t="s">
        <v>1185</v>
      </c>
      <c r="AE78" s="2" t="s">
        <v>1186</v>
      </c>
      <c r="AF78" s="2" t="s">
        <v>1187</v>
      </c>
      <c r="AG78" s="2" t="s">
        <v>1188</v>
      </c>
      <c r="AH78" s="2" t="s">
        <v>1189</v>
      </c>
      <c r="AI78" s="2" t="s">
        <v>670</v>
      </c>
      <c r="AJ78" s="2" t="s">
        <v>1191</v>
      </c>
      <c r="AK78" s="2" t="s">
        <v>1192</v>
      </c>
      <c r="AL78" s="2" t="str">
        <f ca="1">IF(COUNTA(A78:AM78)=39,"OK","CHECK")</f>
        <v>OK</v>
      </c>
      <c r="AM78" s="2" t="s">
        <v>1193</v>
      </c>
    </row>
    <row r="79" spans="1:39" ht="36" customHeight="1">
      <c r="A79" s="3" t="s">
        <v>1292</v>
      </c>
      <c r="B79" s="3" t="s">
        <v>1293</v>
      </c>
      <c r="C79" s="3" t="s">
        <v>1172</v>
      </c>
      <c r="D79" s="3" t="s">
        <v>1128</v>
      </c>
      <c r="E79" s="3" t="s">
        <v>1294</v>
      </c>
      <c r="F79" s="3" t="s">
        <v>256</v>
      </c>
      <c r="G79" s="3" t="s">
        <v>1295</v>
      </c>
      <c r="H79" s="3" t="s">
        <v>1175</v>
      </c>
      <c r="I79" s="3" t="s">
        <v>1136</v>
      </c>
      <c r="J79" s="3" t="s">
        <v>1136</v>
      </c>
      <c r="K79" s="3" t="s">
        <v>670</v>
      </c>
      <c r="L79" s="3" t="s">
        <v>670</v>
      </c>
      <c r="M79" s="3" t="s">
        <v>670</v>
      </c>
      <c r="N79" s="3" t="s">
        <v>670</v>
      </c>
      <c r="O79" s="3" t="s">
        <v>670</v>
      </c>
      <c r="P79" s="3" t="s">
        <v>670</v>
      </c>
      <c r="Q79" s="3" t="s">
        <v>670</v>
      </c>
      <c r="R79" s="3" t="s">
        <v>670</v>
      </c>
      <c r="S79" s="3" t="s">
        <v>1215</v>
      </c>
      <c r="T79" s="3">
        <v>0</v>
      </c>
      <c r="U79" s="3" t="s">
        <v>1296</v>
      </c>
      <c r="V79" s="3" t="s">
        <v>670</v>
      </c>
      <c r="W79" s="3" t="s">
        <v>670</v>
      </c>
      <c r="X79" s="3" t="s">
        <v>670</v>
      </c>
      <c r="Y79" s="3" t="s">
        <v>670</v>
      </c>
      <c r="Z79" s="3" t="s">
        <v>670</v>
      </c>
      <c r="AA79" s="3" t="s">
        <v>670</v>
      </c>
      <c r="AB79" s="3" t="s">
        <v>1297</v>
      </c>
      <c r="AC79" s="3" t="s">
        <v>670</v>
      </c>
      <c r="AD79" s="3" t="s">
        <v>1185</v>
      </c>
      <c r="AE79" s="3" t="s">
        <v>1186</v>
      </c>
      <c r="AF79" s="3" t="s">
        <v>1187</v>
      </c>
      <c r="AG79" s="3" t="s">
        <v>1188</v>
      </c>
      <c r="AH79" s="3" t="s">
        <v>1189</v>
      </c>
      <c r="AI79" s="3" t="s">
        <v>1298</v>
      </c>
      <c r="AJ79" s="3" t="s">
        <v>1191</v>
      </c>
      <c r="AK79" s="3" t="s">
        <v>1192</v>
      </c>
      <c r="AL79" s="3" t="str">
        <f ca="1">IF(COUNTA(A79:AM79)=39,"OK","CHECK")</f>
        <v>OK</v>
      </c>
      <c r="AM79" s="3" t="s">
        <v>1193</v>
      </c>
    </row>
    <row r="80" spans="1:39" ht="36" customHeight="1">
      <c r="A80" s="2" t="s">
        <v>1299</v>
      </c>
      <c r="B80" s="2" t="s">
        <v>1300</v>
      </c>
      <c r="C80" s="2" t="s">
        <v>1172</v>
      </c>
      <c r="D80" s="2" t="s">
        <v>1234</v>
      </c>
      <c r="E80" s="2" t="s">
        <v>1210</v>
      </c>
      <c r="F80" s="2" t="s">
        <v>256</v>
      </c>
      <c r="G80" s="2" t="s">
        <v>1211</v>
      </c>
      <c r="H80" s="2" t="s">
        <v>1212</v>
      </c>
      <c r="I80" s="2" t="s">
        <v>1199</v>
      </c>
      <c r="J80" s="2" t="s">
        <v>1301</v>
      </c>
      <c r="K80" s="2" t="s">
        <v>1302</v>
      </c>
      <c r="L80" s="2" t="s">
        <v>670</v>
      </c>
      <c r="M80" s="2" t="s">
        <v>670</v>
      </c>
      <c r="N80" s="2">
        <v>0.5</v>
      </c>
      <c r="O80" s="2" t="s">
        <v>670</v>
      </c>
      <c r="P80" s="2">
        <v>0.5</v>
      </c>
      <c r="Q80" s="2" t="s">
        <v>670</v>
      </c>
      <c r="R80" s="2" t="s">
        <v>1179</v>
      </c>
      <c r="S80" s="2" t="s">
        <v>1215</v>
      </c>
      <c r="T80" s="2">
        <v>0.5</v>
      </c>
      <c r="U80" s="2" t="s">
        <v>1236</v>
      </c>
      <c r="V80" s="2" t="s">
        <v>1179</v>
      </c>
      <c r="W80" s="2" t="s">
        <v>670</v>
      </c>
      <c r="X80" s="2" t="s">
        <v>1237</v>
      </c>
      <c r="Y80" s="2" t="s">
        <v>1238</v>
      </c>
      <c r="Z80" s="2" t="s">
        <v>670</v>
      </c>
      <c r="AA80" s="2" t="s">
        <v>670</v>
      </c>
      <c r="AB80" s="2" t="s">
        <v>1303</v>
      </c>
      <c r="AC80" s="2" t="s">
        <v>670</v>
      </c>
      <c r="AD80" s="2" t="s">
        <v>1185</v>
      </c>
      <c r="AE80" s="2" t="s">
        <v>1186</v>
      </c>
      <c r="AF80" s="2" t="s">
        <v>1187</v>
      </c>
      <c r="AG80" s="2" t="s">
        <v>1188</v>
      </c>
      <c r="AH80" s="2" t="s">
        <v>1189</v>
      </c>
      <c r="AI80" s="2" t="s">
        <v>670</v>
      </c>
      <c r="AJ80" s="2" t="s">
        <v>1191</v>
      </c>
      <c r="AK80" s="2" t="s">
        <v>1192</v>
      </c>
      <c r="AL80" s="2" t="str">
        <f ca="1">IF(COUNTA(A80:AM80)=39,"OK","CHECK")</f>
        <v>OK</v>
      </c>
      <c r="AM80" s="2" t="s">
        <v>1193</v>
      </c>
    </row>
    <row r="81" spans="1:39" ht="36" customHeight="1">
      <c r="A81" s="3" t="s">
        <v>1304</v>
      </c>
      <c r="B81" s="3" t="s">
        <v>1305</v>
      </c>
      <c r="C81" s="3" t="s">
        <v>1172</v>
      </c>
      <c r="D81" s="3" t="s">
        <v>1128</v>
      </c>
      <c r="E81" s="3" t="s">
        <v>1288</v>
      </c>
      <c r="F81" s="3" t="s">
        <v>256</v>
      </c>
      <c r="G81" s="3" t="s">
        <v>1306</v>
      </c>
      <c r="H81" s="3" t="s">
        <v>1307</v>
      </c>
      <c r="I81" s="3" t="s">
        <v>1199</v>
      </c>
      <c r="J81" s="3" t="s">
        <v>1199</v>
      </c>
      <c r="K81" s="3" t="s">
        <v>670</v>
      </c>
      <c r="L81" s="3" t="s">
        <v>670</v>
      </c>
      <c r="M81" s="3" t="s">
        <v>670</v>
      </c>
      <c r="N81" s="3" t="s">
        <v>670</v>
      </c>
      <c r="O81" s="3" t="s">
        <v>670</v>
      </c>
      <c r="P81" s="3" t="s">
        <v>670</v>
      </c>
      <c r="Q81" s="3" t="s">
        <v>670</v>
      </c>
      <c r="R81" s="3" t="s">
        <v>670</v>
      </c>
      <c r="S81" s="3" t="s">
        <v>1215</v>
      </c>
      <c r="T81" s="3">
        <v>0</v>
      </c>
      <c r="U81" s="3" t="s">
        <v>1308</v>
      </c>
      <c r="V81" s="3" t="s">
        <v>670</v>
      </c>
      <c r="W81" s="3" t="s">
        <v>670</v>
      </c>
      <c r="X81" s="3" t="s">
        <v>670</v>
      </c>
      <c r="Y81" s="3" t="s">
        <v>670</v>
      </c>
      <c r="Z81" s="3" t="s">
        <v>670</v>
      </c>
      <c r="AA81" s="3" t="s">
        <v>670</v>
      </c>
      <c r="AB81" s="3" t="s">
        <v>1309</v>
      </c>
      <c r="AC81" s="3" t="s">
        <v>670</v>
      </c>
      <c r="AD81" s="3" t="s">
        <v>1185</v>
      </c>
      <c r="AE81" s="3" t="s">
        <v>1186</v>
      </c>
      <c r="AF81" s="3" t="s">
        <v>1187</v>
      </c>
      <c r="AG81" s="3" t="s">
        <v>1188</v>
      </c>
      <c r="AH81" s="3" t="s">
        <v>1189</v>
      </c>
      <c r="AI81" s="3" t="s">
        <v>670</v>
      </c>
      <c r="AJ81" s="3" t="s">
        <v>1191</v>
      </c>
      <c r="AK81" s="3" t="s">
        <v>1192</v>
      </c>
      <c r="AL81" s="3" t="str">
        <f ca="1">IF(COUNTA(A81:AM81)=39,"OK","CHECK")</f>
        <v>OK</v>
      </c>
      <c r="AM81" s="3" t="s">
        <v>1193</v>
      </c>
    </row>
    <row r="82" spans="1:39" ht="36" customHeight="1">
      <c r="A82" s="2" t="s">
        <v>1310</v>
      </c>
      <c r="B82" s="2" t="s">
        <v>1311</v>
      </c>
      <c r="C82" s="2" t="s">
        <v>1172</v>
      </c>
      <c r="D82" s="2" t="s">
        <v>1312</v>
      </c>
      <c r="E82" s="2" t="s">
        <v>1129</v>
      </c>
      <c r="F82" s="2" t="s">
        <v>256</v>
      </c>
      <c r="G82" s="2" t="s">
        <v>1313</v>
      </c>
      <c r="H82" s="2" t="s">
        <v>1175</v>
      </c>
      <c r="I82" s="2" t="s">
        <v>1136</v>
      </c>
      <c r="J82" s="2" t="s">
        <v>1136</v>
      </c>
      <c r="K82" s="2" t="s">
        <v>1314</v>
      </c>
      <c r="L82" s="2" t="s">
        <v>1315</v>
      </c>
      <c r="M82" s="2" t="s">
        <v>1316</v>
      </c>
      <c r="N82" s="2">
        <v>1.25</v>
      </c>
      <c r="O82" s="2">
        <v>1</v>
      </c>
      <c r="P82" s="2" t="s">
        <v>670</v>
      </c>
      <c r="Q82" s="2" t="s">
        <v>1317</v>
      </c>
      <c r="R82" s="2" t="s">
        <v>1318</v>
      </c>
      <c r="S82" s="2" t="s">
        <v>1319</v>
      </c>
      <c r="T82" s="2">
        <v>0</v>
      </c>
      <c r="U82" s="2" t="s">
        <v>1320</v>
      </c>
      <c r="V82" s="2" t="s">
        <v>1318</v>
      </c>
      <c r="W82" s="2" t="s">
        <v>1321</v>
      </c>
      <c r="X82" s="2" t="s">
        <v>1204</v>
      </c>
      <c r="Y82" s="2" t="s">
        <v>1270</v>
      </c>
      <c r="Z82" s="2" t="s">
        <v>670</v>
      </c>
      <c r="AA82" s="2" t="s">
        <v>670</v>
      </c>
      <c r="AB82" s="2" t="s">
        <v>1322</v>
      </c>
      <c r="AC82" s="2" t="s">
        <v>1323</v>
      </c>
      <c r="AD82" s="2" t="s">
        <v>1185</v>
      </c>
      <c r="AE82" s="2" t="s">
        <v>1186</v>
      </c>
      <c r="AF82" s="2" t="s">
        <v>1187</v>
      </c>
      <c r="AG82" s="2" t="s">
        <v>1188</v>
      </c>
      <c r="AH82" s="2" t="s">
        <v>1189</v>
      </c>
      <c r="AI82" s="2" t="s">
        <v>670</v>
      </c>
      <c r="AJ82" s="2" t="s">
        <v>1191</v>
      </c>
      <c r="AK82" s="2" t="s">
        <v>1192</v>
      </c>
      <c r="AL82" s="2" t="str">
        <f ca="1">IF(COUNTA(A82:AM82)=39,"OK","CHECK")</f>
        <v>OK</v>
      </c>
      <c r="AM82" s="2" t="s">
        <v>1193</v>
      </c>
    </row>
    <row r="83" spans="1:39" ht="36" customHeight="1">
      <c r="A83" s="3" t="s">
        <v>1324</v>
      </c>
      <c r="B83" s="3" t="s">
        <v>1325</v>
      </c>
      <c r="C83" s="3" t="s">
        <v>1172</v>
      </c>
      <c r="D83" s="3" t="s">
        <v>1312</v>
      </c>
      <c r="E83" s="3" t="s">
        <v>1129</v>
      </c>
      <c r="F83" s="3" t="s">
        <v>256</v>
      </c>
      <c r="G83" s="3" t="s">
        <v>1326</v>
      </c>
      <c r="H83" s="3" t="s">
        <v>1307</v>
      </c>
      <c r="I83" s="3" t="s">
        <v>1136</v>
      </c>
      <c r="J83" s="3" t="s">
        <v>1136</v>
      </c>
      <c r="K83" s="3" t="s">
        <v>1327</v>
      </c>
      <c r="L83" s="3" t="s">
        <v>1328</v>
      </c>
      <c r="M83" s="3" t="s">
        <v>1329</v>
      </c>
      <c r="N83" s="3">
        <v>1.5</v>
      </c>
      <c r="O83" s="3">
        <v>0.75</v>
      </c>
      <c r="P83" s="3" t="s">
        <v>670</v>
      </c>
      <c r="Q83" s="3" t="s">
        <v>670</v>
      </c>
      <c r="R83" s="3" t="s">
        <v>1330</v>
      </c>
      <c r="S83" s="3" t="s">
        <v>1215</v>
      </c>
      <c r="T83" s="3">
        <v>0</v>
      </c>
      <c r="U83" s="3" t="s">
        <v>1331</v>
      </c>
      <c r="V83" s="3" t="s">
        <v>1330</v>
      </c>
      <c r="W83" s="3" t="s">
        <v>670</v>
      </c>
      <c r="X83" s="3" t="s">
        <v>1204</v>
      </c>
      <c r="Y83" s="3" t="s">
        <v>1270</v>
      </c>
      <c r="Z83" s="3" t="s">
        <v>670</v>
      </c>
      <c r="AA83" s="3" t="s">
        <v>670</v>
      </c>
      <c r="AB83" s="3" t="s">
        <v>1332</v>
      </c>
      <c r="AC83" s="3" t="s">
        <v>1333</v>
      </c>
      <c r="AD83" s="3" t="s">
        <v>1185</v>
      </c>
      <c r="AE83" s="3" t="s">
        <v>1186</v>
      </c>
      <c r="AF83" s="3" t="s">
        <v>1187</v>
      </c>
      <c r="AG83" s="3" t="s">
        <v>1188</v>
      </c>
      <c r="AH83" s="3" t="s">
        <v>1189</v>
      </c>
      <c r="AI83" s="3" t="s">
        <v>670</v>
      </c>
      <c r="AJ83" s="3" t="s">
        <v>1191</v>
      </c>
      <c r="AK83" s="3" t="s">
        <v>1192</v>
      </c>
      <c r="AL83" s="3" t="str">
        <f ca="1">IF(COUNTA(A83:AM83)=39,"OK","CHECK")</f>
        <v>OK</v>
      </c>
      <c r="AM83" s="3" t="s">
        <v>1193</v>
      </c>
    </row>
    <row r="84" spans="1:39" ht="36" customHeight="1">
      <c r="A84" s="2" t="s">
        <v>1334</v>
      </c>
      <c r="B84" s="2" t="s">
        <v>1335</v>
      </c>
      <c r="C84" s="2" t="s">
        <v>1172</v>
      </c>
      <c r="D84" s="2" t="s">
        <v>1312</v>
      </c>
      <c r="E84" s="2" t="s">
        <v>1129</v>
      </c>
      <c r="F84" s="2" t="s">
        <v>256</v>
      </c>
      <c r="G84" s="2" t="s">
        <v>1326</v>
      </c>
      <c r="H84" s="2" t="s">
        <v>1307</v>
      </c>
      <c r="I84" s="2" t="s">
        <v>1199</v>
      </c>
      <c r="J84" s="2" t="s">
        <v>1136</v>
      </c>
      <c r="K84" s="2" t="s">
        <v>1176</v>
      </c>
      <c r="L84" s="2" t="s">
        <v>1336</v>
      </c>
      <c r="M84" s="2" t="s">
        <v>1178</v>
      </c>
      <c r="N84" s="2">
        <v>1.5</v>
      </c>
      <c r="O84" s="2">
        <v>1.25</v>
      </c>
      <c r="P84" s="2" t="s">
        <v>670</v>
      </c>
      <c r="Q84" s="2" t="s">
        <v>670</v>
      </c>
      <c r="R84" s="2" t="s">
        <v>1179</v>
      </c>
      <c r="S84" s="2" t="s">
        <v>1215</v>
      </c>
      <c r="T84" s="2">
        <v>0</v>
      </c>
      <c r="U84" s="2" t="s">
        <v>1337</v>
      </c>
      <c r="V84" s="2" t="s">
        <v>1179</v>
      </c>
      <c r="W84" s="2" t="s">
        <v>670</v>
      </c>
      <c r="X84" s="2" t="s">
        <v>1204</v>
      </c>
      <c r="Y84" s="2" t="s">
        <v>1270</v>
      </c>
      <c r="Z84" s="2" t="s">
        <v>670</v>
      </c>
      <c r="AA84" s="2" t="s">
        <v>670</v>
      </c>
      <c r="AB84" s="2" t="s">
        <v>1338</v>
      </c>
      <c r="AC84" s="2" t="s">
        <v>1333</v>
      </c>
      <c r="AD84" s="2" t="s">
        <v>1185</v>
      </c>
      <c r="AE84" s="2" t="s">
        <v>1186</v>
      </c>
      <c r="AF84" s="2" t="s">
        <v>1187</v>
      </c>
      <c r="AG84" s="2" t="s">
        <v>1188</v>
      </c>
      <c r="AH84" s="2" t="s">
        <v>1189</v>
      </c>
      <c r="AI84" s="2" t="s">
        <v>670</v>
      </c>
      <c r="AJ84" s="2" t="s">
        <v>1191</v>
      </c>
      <c r="AK84" s="2" t="s">
        <v>1192</v>
      </c>
      <c r="AL84" s="2" t="str">
        <f ca="1">IF(COUNTA(A84:AM84)=39,"OK","CHECK")</f>
        <v>OK</v>
      </c>
      <c r="AM84" s="2" t="s">
        <v>1193</v>
      </c>
    </row>
    <row r="85" spans="1:39" ht="36" customHeight="1">
      <c r="A85" s="3" t="s">
        <v>1339</v>
      </c>
      <c r="B85" s="3" t="s">
        <v>1340</v>
      </c>
      <c r="C85" s="3" t="s">
        <v>1172</v>
      </c>
      <c r="D85" s="3" t="s">
        <v>1312</v>
      </c>
      <c r="E85" s="3" t="s">
        <v>1129</v>
      </c>
      <c r="F85" s="3" t="s">
        <v>256</v>
      </c>
      <c r="G85" s="3" t="s">
        <v>1326</v>
      </c>
      <c r="H85" s="3" t="s">
        <v>1212</v>
      </c>
      <c r="I85" s="3" t="s">
        <v>1225</v>
      </c>
      <c r="J85" s="3" t="s">
        <v>1301</v>
      </c>
      <c r="K85" s="3" t="s">
        <v>1341</v>
      </c>
      <c r="L85" s="3" t="s">
        <v>1315</v>
      </c>
      <c r="M85" s="3" t="s">
        <v>1342</v>
      </c>
      <c r="N85" s="3">
        <v>1.5</v>
      </c>
      <c r="O85" s="3">
        <v>1</v>
      </c>
      <c r="P85" s="3" t="s">
        <v>670</v>
      </c>
      <c r="Q85" s="3" t="s">
        <v>1343</v>
      </c>
      <c r="R85" s="3" t="s">
        <v>1179</v>
      </c>
      <c r="S85" s="3" t="s">
        <v>1344</v>
      </c>
      <c r="T85" s="3">
        <v>0.5</v>
      </c>
      <c r="U85" s="3" t="s">
        <v>1345</v>
      </c>
      <c r="V85" s="3" t="s">
        <v>1179</v>
      </c>
      <c r="W85" s="3" t="s">
        <v>670</v>
      </c>
      <c r="X85" s="3" t="s">
        <v>1204</v>
      </c>
      <c r="Y85" s="3" t="s">
        <v>1270</v>
      </c>
      <c r="Z85" s="3" t="s">
        <v>670</v>
      </c>
      <c r="AA85" s="3" t="s">
        <v>670</v>
      </c>
      <c r="AB85" s="3" t="s">
        <v>1346</v>
      </c>
      <c r="AC85" s="3" t="s">
        <v>1347</v>
      </c>
      <c r="AD85" s="3" t="s">
        <v>1185</v>
      </c>
      <c r="AE85" s="3" t="s">
        <v>1186</v>
      </c>
      <c r="AF85" s="3" t="s">
        <v>1187</v>
      </c>
      <c r="AG85" s="3" t="s">
        <v>1188</v>
      </c>
      <c r="AH85" s="3" t="s">
        <v>1189</v>
      </c>
      <c r="AI85" s="3" t="s">
        <v>670</v>
      </c>
      <c r="AJ85" s="3" t="s">
        <v>1191</v>
      </c>
      <c r="AK85" s="3" t="s">
        <v>1192</v>
      </c>
      <c r="AL85" s="3" t="str">
        <f ca="1">IF(COUNTA(A85:AM85)=39,"OK","CHECK")</f>
        <v>OK</v>
      </c>
      <c r="AM85" s="3" t="s">
        <v>1193</v>
      </c>
    </row>
    <row r="86" spans="1:39" ht="36" customHeight="1">
      <c r="A86" s="2" t="s">
        <v>1348</v>
      </c>
      <c r="B86" s="2" t="s">
        <v>1349</v>
      </c>
      <c r="C86" s="2" t="s">
        <v>1172</v>
      </c>
      <c r="D86" s="2" t="s">
        <v>1350</v>
      </c>
      <c r="E86" s="2" t="s">
        <v>1129</v>
      </c>
      <c r="F86" s="2" t="s">
        <v>256</v>
      </c>
      <c r="G86" s="2" t="s">
        <v>1197</v>
      </c>
      <c r="H86" s="2" t="s">
        <v>1175</v>
      </c>
      <c r="I86" s="2" t="s">
        <v>1136</v>
      </c>
      <c r="J86" s="2" t="s">
        <v>1136</v>
      </c>
      <c r="K86" s="2" t="s">
        <v>1351</v>
      </c>
      <c r="L86" s="2" t="s">
        <v>1177</v>
      </c>
      <c r="M86" s="2" t="s">
        <v>1352</v>
      </c>
      <c r="N86" s="2">
        <v>0.75</v>
      </c>
      <c r="O86" s="2">
        <v>0.5</v>
      </c>
      <c r="P86" s="2" t="s">
        <v>670</v>
      </c>
      <c r="Q86" s="2" t="s">
        <v>1353</v>
      </c>
      <c r="R86" s="2" t="s">
        <v>1179</v>
      </c>
      <c r="S86" s="2" t="s">
        <v>1354</v>
      </c>
      <c r="T86" s="2">
        <v>0</v>
      </c>
      <c r="U86" s="2" t="s">
        <v>1355</v>
      </c>
      <c r="V86" s="2" t="s">
        <v>1179</v>
      </c>
      <c r="W86" s="2" t="s">
        <v>670</v>
      </c>
      <c r="X86" s="2" t="s">
        <v>1204</v>
      </c>
      <c r="Y86" s="2" t="s">
        <v>1270</v>
      </c>
      <c r="Z86" s="2" t="s">
        <v>670</v>
      </c>
      <c r="AA86" s="2" t="s">
        <v>670</v>
      </c>
      <c r="AB86" s="2" t="s">
        <v>1356</v>
      </c>
      <c r="AC86" s="2" t="s">
        <v>670</v>
      </c>
      <c r="AD86" s="2" t="s">
        <v>1185</v>
      </c>
      <c r="AE86" s="2" t="s">
        <v>1186</v>
      </c>
      <c r="AF86" s="2" t="s">
        <v>1187</v>
      </c>
      <c r="AG86" s="2" t="s">
        <v>1188</v>
      </c>
      <c r="AH86" s="2" t="s">
        <v>1189</v>
      </c>
      <c r="AI86" s="2" t="s">
        <v>670</v>
      </c>
      <c r="AJ86" s="2" t="s">
        <v>1191</v>
      </c>
      <c r="AK86" s="2" t="s">
        <v>1192</v>
      </c>
      <c r="AL86" s="2" t="str">
        <f ca="1">IF(COUNTA(A86:AM86)=39,"OK","CHECK")</f>
        <v>OK</v>
      </c>
      <c r="AM86" s="2" t="s">
        <v>1193</v>
      </c>
    </row>
    <row r="87" spans="1:39" ht="36" customHeight="1">
      <c r="A87" s="3" t="s">
        <v>1357</v>
      </c>
      <c r="B87" s="3" t="s">
        <v>1358</v>
      </c>
      <c r="C87" s="3" t="s">
        <v>1172</v>
      </c>
      <c r="D87" s="3" t="s">
        <v>1312</v>
      </c>
      <c r="E87" s="3" t="s">
        <v>1129</v>
      </c>
      <c r="F87" s="3" t="s">
        <v>256</v>
      </c>
      <c r="G87" s="3" t="s">
        <v>1359</v>
      </c>
      <c r="H87" s="3" t="s">
        <v>1360</v>
      </c>
      <c r="I87" s="3" t="s">
        <v>1135</v>
      </c>
      <c r="J87" s="3" t="s">
        <v>1225</v>
      </c>
      <c r="K87" s="3" t="s">
        <v>1361</v>
      </c>
      <c r="L87" s="3" t="s">
        <v>1336</v>
      </c>
      <c r="M87" s="3" t="s">
        <v>1362</v>
      </c>
      <c r="N87" s="3">
        <v>2</v>
      </c>
      <c r="O87" s="3">
        <v>1.25</v>
      </c>
      <c r="P87" s="3" t="s">
        <v>670</v>
      </c>
      <c r="Q87" s="3" t="s">
        <v>1363</v>
      </c>
      <c r="R87" s="3" t="s">
        <v>1318</v>
      </c>
      <c r="S87" s="3" t="s">
        <v>1319</v>
      </c>
      <c r="T87" s="3">
        <v>0</v>
      </c>
      <c r="U87" s="3" t="s">
        <v>1364</v>
      </c>
      <c r="V87" s="3" t="s">
        <v>1318</v>
      </c>
      <c r="W87" s="3" t="s">
        <v>1321</v>
      </c>
      <c r="X87" s="3" t="s">
        <v>1204</v>
      </c>
      <c r="Y87" s="3" t="s">
        <v>1270</v>
      </c>
      <c r="Z87" s="3" t="s">
        <v>670</v>
      </c>
      <c r="AA87" s="3" t="s">
        <v>670</v>
      </c>
      <c r="AB87" s="3" t="s">
        <v>1365</v>
      </c>
      <c r="AC87" s="3" t="s">
        <v>670</v>
      </c>
      <c r="AD87" s="3" t="s">
        <v>1185</v>
      </c>
      <c r="AE87" s="3" t="s">
        <v>1186</v>
      </c>
      <c r="AF87" s="3" t="s">
        <v>1187</v>
      </c>
      <c r="AG87" s="3" t="s">
        <v>1188</v>
      </c>
      <c r="AH87" s="3" t="s">
        <v>1189</v>
      </c>
      <c r="AI87" s="3" t="s">
        <v>1366</v>
      </c>
      <c r="AJ87" s="3" t="s">
        <v>1191</v>
      </c>
      <c r="AK87" s="3" t="s">
        <v>1192</v>
      </c>
      <c r="AL87" s="3" t="str">
        <f ca="1">IF(COUNTA(A87:AM87)=39,"OK","CHECK")</f>
        <v>OK</v>
      </c>
      <c r="AM87" s="3" t="s">
        <v>1193</v>
      </c>
    </row>
    <row r="88" spans="1:39" ht="36" customHeight="1">
      <c r="A88" s="2" t="s">
        <v>1367</v>
      </c>
      <c r="B88" s="2" t="s">
        <v>1368</v>
      </c>
      <c r="C88" s="2" t="s">
        <v>1172</v>
      </c>
      <c r="D88" s="2" t="s">
        <v>1369</v>
      </c>
      <c r="E88" s="2" t="s">
        <v>1210</v>
      </c>
      <c r="F88" s="2" t="s">
        <v>256</v>
      </c>
      <c r="G88" s="2" t="s">
        <v>1197</v>
      </c>
      <c r="H88" s="2" t="s">
        <v>1175</v>
      </c>
      <c r="I88" s="2" t="s">
        <v>1225</v>
      </c>
      <c r="J88" s="2" t="s">
        <v>1136</v>
      </c>
      <c r="K88" s="2" t="s">
        <v>1370</v>
      </c>
      <c r="L88" s="2" t="s">
        <v>670</v>
      </c>
      <c r="M88" s="2" t="s">
        <v>1371</v>
      </c>
      <c r="N88" s="2">
        <v>0.75</v>
      </c>
      <c r="O88" s="2" t="s">
        <v>670</v>
      </c>
      <c r="P88" s="2" t="s">
        <v>670</v>
      </c>
      <c r="Q88" s="2" t="s">
        <v>670</v>
      </c>
      <c r="R88" s="2" t="s">
        <v>1179</v>
      </c>
      <c r="S88" s="2" t="s">
        <v>1215</v>
      </c>
      <c r="T88" s="2">
        <v>0</v>
      </c>
      <c r="U88" s="2" t="s">
        <v>1131</v>
      </c>
      <c r="V88" s="2" t="s">
        <v>1179</v>
      </c>
      <c r="W88" s="2" t="s">
        <v>670</v>
      </c>
      <c r="X88" s="2" t="s">
        <v>1237</v>
      </c>
      <c r="Y88" s="2" t="s">
        <v>1372</v>
      </c>
      <c r="Z88" s="2" t="s">
        <v>670</v>
      </c>
      <c r="AA88" s="2" t="s">
        <v>670</v>
      </c>
      <c r="AB88" s="2" t="s">
        <v>1218</v>
      </c>
      <c r="AC88" s="2" t="s">
        <v>670</v>
      </c>
      <c r="AD88" s="2" t="s">
        <v>1185</v>
      </c>
      <c r="AE88" s="2" t="s">
        <v>1186</v>
      </c>
      <c r="AF88" s="2" t="s">
        <v>1187</v>
      </c>
      <c r="AG88" s="2" t="s">
        <v>1188</v>
      </c>
      <c r="AH88" s="2" t="s">
        <v>1189</v>
      </c>
      <c r="AI88" s="2" t="s">
        <v>670</v>
      </c>
      <c r="AJ88" s="2" t="s">
        <v>1191</v>
      </c>
      <c r="AK88" s="2" t="s">
        <v>1192</v>
      </c>
      <c r="AL88" s="2" t="str">
        <f ca="1">IF(COUNTA(A88:AM88)=39,"OK","CHECK")</f>
        <v>OK</v>
      </c>
      <c r="AM88" s="2" t="s">
        <v>1193</v>
      </c>
    </row>
    <row r="89" spans="1:39" ht="36" customHeight="1">
      <c r="A89" s="3" t="s">
        <v>1373</v>
      </c>
      <c r="B89" s="3" t="s">
        <v>1374</v>
      </c>
      <c r="C89" s="3" t="s">
        <v>1172</v>
      </c>
      <c r="D89" s="3" t="s">
        <v>1234</v>
      </c>
      <c r="E89" s="3" t="s">
        <v>1210</v>
      </c>
      <c r="F89" s="3" t="s">
        <v>256</v>
      </c>
      <c r="G89" s="3" t="s">
        <v>1174</v>
      </c>
      <c r="H89" s="3" t="s">
        <v>1307</v>
      </c>
      <c r="I89" s="3" t="s">
        <v>1136</v>
      </c>
      <c r="J89" s="3" t="s">
        <v>1199</v>
      </c>
      <c r="K89" s="3" t="s">
        <v>1375</v>
      </c>
      <c r="L89" s="3" t="s">
        <v>670</v>
      </c>
      <c r="M89" s="3" t="s">
        <v>1376</v>
      </c>
      <c r="N89" s="3">
        <v>1</v>
      </c>
      <c r="O89" s="3" t="s">
        <v>670</v>
      </c>
      <c r="P89" s="3" t="s">
        <v>1377</v>
      </c>
      <c r="Q89" s="3" t="s">
        <v>670</v>
      </c>
      <c r="R89" s="3" t="s">
        <v>1179</v>
      </c>
      <c r="S89" s="3" t="s">
        <v>1215</v>
      </c>
      <c r="T89" s="3">
        <v>0.5</v>
      </c>
      <c r="U89" s="3" t="s">
        <v>1236</v>
      </c>
      <c r="V89" s="3" t="s">
        <v>1179</v>
      </c>
      <c r="W89" s="3" t="s">
        <v>670</v>
      </c>
      <c r="X89" s="3" t="s">
        <v>1237</v>
      </c>
      <c r="Y89" s="3" t="s">
        <v>1238</v>
      </c>
      <c r="Z89" s="3" t="s">
        <v>670</v>
      </c>
      <c r="AA89" s="3" t="s">
        <v>670</v>
      </c>
      <c r="AB89" s="3" t="s">
        <v>1378</v>
      </c>
      <c r="AC89" s="3" t="s">
        <v>670</v>
      </c>
      <c r="AD89" s="3" t="s">
        <v>1185</v>
      </c>
      <c r="AE89" s="3" t="s">
        <v>1186</v>
      </c>
      <c r="AF89" s="3" t="s">
        <v>1187</v>
      </c>
      <c r="AG89" s="3" t="s">
        <v>1188</v>
      </c>
      <c r="AH89" s="3" t="s">
        <v>1189</v>
      </c>
      <c r="AI89" s="3" t="s">
        <v>670</v>
      </c>
      <c r="AJ89" s="3" t="s">
        <v>1191</v>
      </c>
      <c r="AK89" s="3" t="s">
        <v>1192</v>
      </c>
      <c r="AL89" s="3" t="str">
        <f ca="1">IF(COUNTA(A89:AM89)=39,"OK","CHECK")</f>
        <v>OK</v>
      </c>
      <c r="AM89" s="3" t="s">
        <v>1193</v>
      </c>
    </row>
    <row r="90" spans="1:39" ht="36" customHeight="1">
      <c r="A90" s="2" t="s">
        <v>1379</v>
      </c>
      <c r="B90" s="2" t="s">
        <v>1380</v>
      </c>
      <c r="C90" s="2" t="s">
        <v>1172</v>
      </c>
      <c r="D90" s="2" t="s">
        <v>1381</v>
      </c>
      <c r="E90" s="2" t="s">
        <v>1210</v>
      </c>
      <c r="F90" s="2" t="s">
        <v>256</v>
      </c>
      <c r="G90" s="2" t="s">
        <v>1174</v>
      </c>
      <c r="H90" s="2" t="s">
        <v>1212</v>
      </c>
      <c r="I90" s="2" t="s">
        <v>1135</v>
      </c>
      <c r="J90" s="2" t="s">
        <v>1136</v>
      </c>
      <c r="K90" s="2" t="s">
        <v>670</v>
      </c>
      <c r="L90" s="2" t="s">
        <v>670</v>
      </c>
      <c r="M90" s="2" t="s">
        <v>670</v>
      </c>
      <c r="N90" s="2">
        <v>1</v>
      </c>
      <c r="O90" s="2" t="s">
        <v>670</v>
      </c>
      <c r="P90" s="2" t="s">
        <v>670</v>
      </c>
      <c r="Q90" s="2" t="s">
        <v>670</v>
      </c>
      <c r="R90" s="2" t="s">
        <v>1179</v>
      </c>
      <c r="S90" s="2" t="s">
        <v>1215</v>
      </c>
      <c r="T90" s="2">
        <v>0</v>
      </c>
      <c r="U90" s="2" t="s">
        <v>1382</v>
      </c>
      <c r="V90" s="2" t="s">
        <v>1179</v>
      </c>
      <c r="W90" s="2" t="s">
        <v>670</v>
      </c>
      <c r="X90" s="2" t="s">
        <v>670</v>
      </c>
      <c r="Y90" s="2" t="s">
        <v>670</v>
      </c>
      <c r="Z90" s="2" t="s">
        <v>670</v>
      </c>
      <c r="AA90" s="2" t="s">
        <v>670</v>
      </c>
      <c r="AB90" s="2" t="s">
        <v>1383</v>
      </c>
      <c r="AC90" s="2" t="s">
        <v>670</v>
      </c>
      <c r="AD90" s="2" t="s">
        <v>1185</v>
      </c>
      <c r="AE90" s="2" t="s">
        <v>1186</v>
      </c>
      <c r="AF90" s="2" t="s">
        <v>1187</v>
      </c>
      <c r="AG90" s="2" t="s">
        <v>1188</v>
      </c>
      <c r="AH90" s="2" t="s">
        <v>1189</v>
      </c>
      <c r="AI90" s="2" t="s">
        <v>1384</v>
      </c>
      <c r="AJ90" s="2" t="s">
        <v>1191</v>
      </c>
      <c r="AK90" s="2" t="s">
        <v>1192</v>
      </c>
      <c r="AL90" s="2" t="str">
        <f ca="1">IF(COUNTA(A90:AM90)=39,"OK","CHECK")</f>
        <v>OK</v>
      </c>
      <c r="AM90" s="2" t="s">
        <v>1193</v>
      </c>
    </row>
    <row r="91" spans="1:39" ht="36" customHeight="1">
      <c r="A91" s="3" t="s">
        <v>1385</v>
      </c>
      <c r="B91" s="3" t="s">
        <v>1386</v>
      </c>
      <c r="C91" s="3" t="s">
        <v>1172</v>
      </c>
      <c r="D91" s="3" t="s">
        <v>654</v>
      </c>
      <c r="E91" s="3" t="s">
        <v>1210</v>
      </c>
      <c r="F91" s="3" t="s">
        <v>256</v>
      </c>
      <c r="G91" s="3" t="s">
        <v>1313</v>
      </c>
      <c r="H91" s="3" t="s">
        <v>1224</v>
      </c>
      <c r="I91" s="3" t="s">
        <v>1199</v>
      </c>
      <c r="J91" s="3" t="s">
        <v>1199</v>
      </c>
      <c r="K91" s="3" t="s">
        <v>1387</v>
      </c>
      <c r="L91" s="3" t="s">
        <v>670</v>
      </c>
      <c r="M91" s="3" t="s">
        <v>670</v>
      </c>
      <c r="N91" s="3">
        <v>1.25</v>
      </c>
      <c r="O91" s="3" t="s">
        <v>670</v>
      </c>
      <c r="P91" s="3" t="s">
        <v>1388</v>
      </c>
      <c r="Q91" s="3" t="s">
        <v>670</v>
      </c>
      <c r="R91" s="3" t="s">
        <v>1179</v>
      </c>
      <c r="S91" s="3" t="s">
        <v>1215</v>
      </c>
      <c r="T91" s="3">
        <v>1</v>
      </c>
      <c r="U91" s="3" t="s">
        <v>1181</v>
      </c>
      <c r="V91" s="3" t="s">
        <v>1179</v>
      </c>
      <c r="W91" s="3" t="s">
        <v>670</v>
      </c>
      <c r="X91" s="3" t="s">
        <v>1237</v>
      </c>
      <c r="Y91" s="3" t="s">
        <v>1389</v>
      </c>
      <c r="Z91" s="3" t="s">
        <v>670</v>
      </c>
      <c r="AA91" s="3" t="s">
        <v>670</v>
      </c>
      <c r="AB91" s="3" t="s">
        <v>1390</v>
      </c>
      <c r="AC91" s="3" t="s">
        <v>670</v>
      </c>
      <c r="AD91" s="3" t="s">
        <v>1185</v>
      </c>
      <c r="AE91" s="3" t="s">
        <v>1186</v>
      </c>
      <c r="AF91" s="3" t="s">
        <v>1187</v>
      </c>
      <c r="AG91" s="3" t="s">
        <v>1188</v>
      </c>
      <c r="AH91" s="3" t="s">
        <v>1189</v>
      </c>
      <c r="AI91" s="3" t="s">
        <v>670</v>
      </c>
      <c r="AJ91" s="3" t="s">
        <v>1191</v>
      </c>
      <c r="AK91" s="3" t="s">
        <v>1192</v>
      </c>
      <c r="AL91" s="3" t="str">
        <f ca="1">IF(COUNTA(A91:AM91)=39,"OK","CHECK")</f>
        <v>OK</v>
      </c>
      <c r="AM91" s="3" t="s">
        <v>1193</v>
      </c>
    </row>
    <row r="92" spans="1:39" ht="36" customHeight="1">
      <c r="A92" s="2" t="s">
        <v>1391</v>
      </c>
      <c r="B92" s="2" t="s">
        <v>1392</v>
      </c>
      <c r="C92" s="2" t="s">
        <v>1172</v>
      </c>
      <c r="D92" s="2" t="s">
        <v>1312</v>
      </c>
      <c r="E92" s="2" t="s">
        <v>1129</v>
      </c>
      <c r="F92" s="2" t="s">
        <v>256</v>
      </c>
      <c r="G92" s="2" t="s">
        <v>1174</v>
      </c>
      <c r="H92" s="2" t="s">
        <v>1393</v>
      </c>
      <c r="I92" s="2" t="s">
        <v>1136</v>
      </c>
      <c r="J92" s="2" t="s">
        <v>1136</v>
      </c>
      <c r="K92" s="2" t="s">
        <v>1394</v>
      </c>
      <c r="L92" s="2" t="s">
        <v>1328</v>
      </c>
      <c r="M92" s="2" t="s">
        <v>1395</v>
      </c>
      <c r="N92" s="2">
        <v>1</v>
      </c>
      <c r="O92" s="2">
        <v>0.75</v>
      </c>
      <c r="P92" s="2" t="s">
        <v>670</v>
      </c>
      <c r="Q92" s="2" t="s">
        <v>1396</v>
      </c>
      <c r="R92" s="2" t="s">
        <v>1318</v>
      </c>
      <c r="S92" s="2" t="s">
        <v>1319</v>
      </c>
      <c r="T92" s="2">
        <v>0</v>
      </c>
      <c r="U92" s="2" t="s">
        <v>1397</v>
      </c>
      <c r="V92" s="2" t="s">
        <v>1318</v>
      </c>
      <c r="W92" s="2" t="s">
        <v>670</v>
      </c>
      <c r="X92" s="2" t="s">
        <v>1204</v>
      </c>
      <c r="Y92" s="2" t="s">
        <v>1270</v>
      </c>
      <c r="Z92" s="2" t="s">
        <v>670</v>
      </c>
      <c r="AA92" s="2" t="s">
        <v>670</v>
      </c>
      <c r="AB92" s="2" t="s">
        <v>1398</v>
      </c>
      <c r="AC92" s="2" t="s">
        <v>670</v>
      </c>
      <c r="AD92" s="2" t="s">
        <v>1185</v>
      </c>
      <c r="AE92" s="2" t="s">
        <v>1186</v>
      </c>
      <c r="AF92" s="2" t="s">
        <v>1187</v>
      </c>
      <c r="AG92" s="2" t="s">
        <v>1188</v>
      </c>
      <c r="AH92" s="2" t="s">
        <v>1189</v>
      </c>
      <c r="AI92" s="2" t="s">
        <v>1399</v>
      </c>
      <c r="AJ92" s="2" t="s">
        <v>1191</v>
      </c>
      <c r="AK92" s="2" t="s">
        <v>1192</v>
      </c>
      <c r="AL92" s="2" t="str">
        <f ca="1">IF(COUNTA(A92:AM92)=39,"OK","CHECK")</f>
        <v>OK</v>
      </c>
      <c r="AM92" s="2" t="s">
        <v>1193</v>
      </c>
    </row>
    <row r="93" spans="1:39" ht="36" customHeight="1">
      <c r="A93" s="3" t="s">
        <v>1400</v>
      </c>
      <c r="B93" s="3" t="s">
        <v>1401</v>
      </c>
      <c r="C93" s="3" t="s">
        <v>1172</v>
      </c>
      <c r="D93" s="3" t="s">
        <v>1312</v>
      </c>
      <c r="E93" s="3" t="s">
        <v>1129</v>
      </c>
      <c r="F93" s="3" t="s">
        <v>256</v>
      </c>
      <c r="G93" s="3" t="s">
        <v>1402</v>
      </c>
      <c r="H93" s="3" t="s">
        <v>1403</v>
      </c>
      <c r="I93" s="3" t="s">
        <v>1199</v>
      </c>
      <c r="J93" s="3" t="s">
        <v>1136</v>
      </c>
      <c r="K93" s="3" t="s">
        <v>1404</v>
      </c>
      <c r="L93" s="3" t="s">
        <v>1405</v>
      </c>
      <c r="M93" s="3" t="s">
        <v>1406</v>
      </c>
      <c r="N93" s="3">
        <v>1.35</v>
      </c>
      <c r="O93" s="3" t="s">
        <v>1407</v>
      </c>
      <c r="P93" s="3" t="s">
        <v>670</v>
      </c>
      <c r="Q93" s="3" t="s">
        <v>1396</v>
      </c>
      <c r="R93" s="3" t="s">
        <v>1179</v>
      </c>
      <c r="S93" s="3" t="s">
        <v>1354</v>
      </c>
      <c r="T93" s="3">
        <v>0</v>
      </c>
      <c r="U93" s="3" t="s">
        <v>1397</v>
      </c>
      <c r="V93" s="3" t="s">
        <v>1179</v>
      </c>
      <c r="W93" s="3" t="s">
        <v>670</v>
      </c>
      <c r="X93" s="3" t="s">
        <v>1408</v>
      </c>
      <c r="Y93" s="3" t="s">
        <v>1409</v>
      </c>
      <c r="Z93" s="3" t="s">
        <v>670</v>
      </c>
      <c r="AA93" s="3" t="s">
        <v>670</v>
      </c>
      <c r="AB93" s="3" t="s">
        <v>1410</v>
      </c>
      <c r="AC93" s="3" t="s">
        <v>670</v>
      </c>
      <c r="AD93" s="3" t="s">
        <v>1185</v>
      </c>
      <c r="AE93" s="3" t="s">
        <v>1186</v>
      </c>
      <c r="AF93" s="3" t="s">
        <v>1187</v>
      </c>
      <c r="AG93" s="3" t="s">
        <v>1188</v>
      </c>
      <c r="AH93" s="3" t="s">
        <v>1189</v>
      </c>
      <c r="AI93" s="3" t="s">
        <v>1410</v>
      </c>
      <c r="AJ93" s="3" t="s">
        <v>1191</v>
      </c>
      <c r="AK93" s="3" t="s">
        <v>1192</v>
      </c>
      <c r="AL93" s="3" t="str">
        <f ca="1">IF(COUNTA(A93:AM93)=39,"OK","CHECK")</f>
        <v>OK</v>
      </c>
      <c r="AM93" s="3" t="s">
        <v>1193</v>
      </c>
    </row>
    <row r="94" spans="1:39" ht="36" customHeight="1">
      <c r="A94" s="2" t="s">
        <v>1411</v>
      </c>
      <c r="B94" s="2" t="s">
        <v>1412</v>
      </c>
      <c r="C94" s="2" t="s">
        <v>1172</v>
      </c>
      <c r="D94" s="2" t="s">
        <v>1234</v>
      </c>
      <c r="E94" s="2" t="s">
        <v>1210</v>
      </c>
      <c r="F94" s="2" t="s">
        <v>256</v>
      </c>
      <c r="G94" s="2" t="s">
        <v>1174</v>
      </c>
      <c r="H94" s="2" t="s">
        <v>1307</v>
      </c>
      <c r="I94" s="2" t="s">
        <v>1199</v>
      </c>
      <c r="J94" s="2" t="s">
        <v>1301</v>
      </c>
      <c r="K94" s="2" t="s">
        <v>1413</v>
      </c>
      <c r="L94" s="2" t="s">
        <v>670</v>
      </c>
      <c r="M94" s="2" t="s">
        <v>670</v>
      </c>
      <c r="N94" s="2">
        <v>1</v>
      </c>
      <c r="O94" s="2" t="s">
        <v>670</v>
      </c>
      <c r="P94" s="2" t="s">
        <v>1377</v>
      </c>
      <c r="Q94" s="2" t="s">
        <v>670</v>
      </c>
      <c r="R94" s="2" t="s">
        <v>1179</v>
      </c>
      <c r="S94" s="2" t="s">
        <v>1215</v>
      </c>
      <c r="T94" s="2">
        <v>0.5</v>
      </c>
      <c r="U94" s="2" t="s">
        <v>1236</v>
      </c>
      <c r="V94" s="2" t="s">
        <v>1179</v>
      </c>
      <c r="W94" s="2" t="s">
        <v>670</v>
      </c>
      <c r="X94" s="2" t="s">
        <v>1237</v>
      </c>
      <c r="Y94" s="2" t="s">
        <v>1238</v>
      </c>
      <c r="Z94" s="2" t="s">
        <v>670</v>
      </c>
      <c r="AA94" s="2" t="s">
        <v>670</v>
      </c>
      <c r="AB94" s="2" t="s">
        <v>1378</v>
      </c>
      <c r="AC94" s="2" t="s">
        <v>670</v>
      </c>
      <c r="AD94" s="2" t="s">
        <v>1185</v>
      </c>
      <c r="AE94" s="2" t="s">
        <v>1186</v>
      </c>
      <c r="AF94" s="2" t="s">
        <v>1187</v>
      </c>
      <c r="AG94" s="2" t="s">
        <v>1188</v>
      </c>
      <c r="AH94" s="2" t="s">
        <v>1189</v>
      </c>
      <c r="AI94" s="2" t="s">
        <v>670</v>
      </c>
      <c r="AJ94" s="2" t="s">
        <v>1191</v>
      </c>
      <c r="AK94" s="2" t="s">
        <v>1192</v>
      </c>
      <c r="AL94" s="2" t="str">
        <f ca="1">IF(COUNTA(A94:AM94)=39,"OK","CHECK")</f>
        <v>OK</v>
      </c>
      <c r="AM94" s="2" t="s">
        <v>1193</v>
      </c>
    </row>
    <row r="95" spans="1:39" ht="36" customHeight="1">
      <c r="A95" s="3" t="s">
        <v>1414</v>
      </c>
      <c r="B95" s="3" t="s">
        <v>1415</v>
      </c>
      <c r="C95" s="3" t="s">
        <v>1172</v>
      </c>
      <c r="D95" s="3" t="s">
        <v>1350</v>
      </c>
      <c r="E95" s="3" t="s">
        <v>1129</v>
      </c>
      <c r="F95" s="3" t="s">
        <v>256</v>
      </c>
      <c r="G95" s="3" t="s">
        <v>1174</v>
      </c>
      <c r="H95" s="3" t="s">
        <v>1307</v>
      </c>
      <c r="I95" s="3" t="s">
        <v>1225</v>
      </c>
      <c r="J95" s="3" t="s">
        <v>1136</v>
      </c>
      <c r="K95" s="3" t="s">
        <v>1416</v>
      </c>
      <c r="L95" s="3" t="s">
        <v>1177</v>
      </c>
      <c r="M95" s="3" t="s">
        <v>1371</v>
      </c>
      <c r="N95" s="3">
        <v>1</v>
      </c>
      <c r="O95" s="3">
        <v>0.5</v>
      </c>
      <c r="P95" s="3" t="s">
        <v>670</v>
      </c>
      <c r="Q95" s="3" t="s">
        <v>1396</v>
      </c>
      <c r="R95" s="3" t="s">
        <v>1179</v>
      </c>
      <c r="S95" s="3" t="s">
        <v>1354</v>
      </c>
      <c r="T95" s="3">
        <v>0</v>
      </c>
      <c r="U95" s="3" t="s">
        <v>1397</v>
      </c>
      <c r="V95" s="3" t="s">
        <v>1179</v>
      </c>
      <c r="W95" s="3" t="s">
        <v>670</v>
      </c>
      <c r="X95" s="3" t="s">
        <v>1204</v>
      </c>
      <c r="Y95" s="3" t="s">
        <v>1417</v>
      </c>
      <c r="Z95" s="3" t="s">
        <v>670</v>
      </c>
      <c r="AA95" s="3" t="s">
        <v>670</v>
      </c>
      <c r="AB95" s="3" t="s">
        <v>1418</v>
      </c>
      <c r="AC95" s="3" t="s">
        <v>670</v>
      </c>
      <c r="AD95" s="3" t="s">
        <v>1185</v>
      </c>
      <c r="AE95" s="3" t="s">
        <v>1186</v>
      </c>
      <c r="AF95" s="3" t="s">
        <v>1187</v>
      </c>
      <c r="AG95" s="3" t="s">
        <v>1188</v>
      </c>
      <c r="AH95" s="3" t="s">
        <v>1189</v>
      </c>
      <c r="AI95" s="3" t="s">
        <v>670</v>
      </c>
      <c r="AJ95" s="3" t="s">
        <v>1191</v>
      </c>
      <c r="AK95" s="3" t="s">
        <v>1192</v>
      </c>
      <c r="AL95" s="3" t="str">
        <f ca="1">IF(COUNTA(A95:AM95)=39,"OK","CHECK")</f>
        <v>OK</v>
      </c>
      <c r="AM95" s="3" t="s">
        <v>1193</v>
      </c>
    </row>
    <row r="96" spans="1:39" ht="36" customHeight="1">
      <c r="A96" s="2" t="s">
        <v>1419</v>
      </c>
      <c r="B96" s="2" t="s">
        <v>1420</v>
      </c>
      <c r="C96" s="2" t="s">
        <v>1172</v>
      </c>
      <c r="D96" s="2" t="s">
        <v>1128</v>
      </c>
      <c r="E96" s="2" t="s">
        <v>1294</v>
      </c>
      <c r="F96" s="2" t="s">
        <v>256</v>
      </c>
      <c r="G96" s="2" t="s">
        <v>1211</v>
      </c>
      <c r="H96" s="2" t="s">
        <v>1421</v>
      </c>
      <c r="I96" s="2" t="s">
        <v>1136</v>
      </c>
      <c r="J96" s="2" t="s">
        <v>1136</v>
      </c>
      <c r="K96" s="2" t="s">
        <v>670</v>
      </c>
      <c r="L96" s="2" t="s">
        <v>670</v>
      </c>
      <c r="M96" s="2" t="s">
        <v>670</v>
      </c>
      <c r="N96" s="2">
        <v>0.5</v>
      </c>
      <c r="O96" s="2" t="s">
        <v>670</v>
      </c>
      <c r="P96" s="2" t="s">
        <v>670</v>
      </c>
      <c r="Q96" s="2" t="s">
        <v>670</v>
      </c>
      <c r="R96" s="2" t="s">
        <v>670</v>
      </c>
      <c r="S96" s="2" t="s">
        <v>1215</v>
      </c>
      <c r="T96" s="2">
        <v>0</v>
      </c>
      <c r="U96" s="2" t="s">
        <v>1422</v>
      </c>
      <c r="V96" s="2" t="s">
        <v>670</v>
      </c>
      <c r="W96" s="2" t="s">
        <v>670</v>
      </c>
      <c r="X96" s="2" t="s">
        <v>670</v>
      </c>
      <c r="Y96" s="2" t="s">
        <v>670</v>
      </c>
      <c r="Z96" s="2" t="s">
        <v>670</v>
      </c>
      <c r="AA96" s="2" t="s">
        <v>670</v>
      </c>
      <c r="AB96" s="2" t="s">
        <v>1423</v>
      </c>
      <c r="AC96" s="2" t="s">
        <v>670</v>
      </c>
      <c r="AD96" s="2" t="s">
        <v>1185</v>
      </c>
      <c r="AE96" s="2" t="s">
        <v>1186</v>
      </c>
      <c r="AF96" s="2" t="s">
        <v>1187</v>
      </c>
      <c r="AG96" s="2" t="s">
        <v>1188</v>
      </c>
      <c r="AH96" s="2" t="s">
        <v>1189</v>
      </c>
      <c r="AI96" s="2" t="s">
        <v>1424</v>
      </c>
      <c r="AJ96" s="2" t="s">
        <v>1191</v>
      </c>
      <c r="AK96" s="2" t="s">
        <v>1192</v>
      </c>
      <c r="AL96" s="2" t="str">
        <f ca="1">IF(COUNTA(A96:AM96)=39,"OK","CHECK")</f>
        <v>OK</v>
      </c>
      <c r="AM96" s="2" t="s">
        <v>1193</v>
      </c>
    </row>
    <row r="97" spans="1:39" ht="36" customHeight="1">
      <c r="A97" s="3" t="s">
        <v>1425</v>
      </c>
      <c r="B97" s="3" t="s">
        <v>1125</v>
      </c>
      <c r="C97" s="3" t="s">
        <v>1172</v>
      </c>
      <c r="D97" s="3" t="s">
        <v>1128</v>
      </c>
      <c r="E97" s="3" t="s">
        <v>1129</v>
      </c>
      <c r="F97" s="3" t="s">
        <v>256</v>
      </c>
      <c r="G97" s="3" t="s">
        <v>1426</v>
      </c>
      <c r="H97" s="3" t="s">
        <v>1427</v>
      </c>
      <c r="I97" s="3" t="s">
        <v>1135</v>
      </c>
      <c r="J97" s="3" t="s">
        <v>1136</v>
      </c>
      <c r="K97" s="3" t="s">
        <v>670</v>
      </c>
      <c r="L97" s="3" t="s">
        <v>670</v>
      </c>
      <c r="M97" s="3" t="s">
        <v>670</v>
      </c>
      <c r="N97" s="3" t="s">
        <v>670</v>
      </c>
      <c r="O97" s="3" t="s">
        <v>670</v>
      </c>
      <c r="P97" s="3" t="s">
        <v>670</v>
      </c>
      <c r="Q97" s="3" t="s">
        <v>1428</v>
      </c>
      <c r="R97" s="3" t="s">
        <v>670</v>
      </c>
      <c r="S97" s="3" t="s">
        <v>1215</v>
      </c>
      <c r="T97" s="3">
        <v>0</v>
      </c>
      <c r="U97" s="3" t="s">
        <v>1131</v>
      </c>
      <c r="V97" s="3" t="s">
        <v>670</v>
      </c>
      <c r="W97" s="3" t="s">
        <v>670</v>
      </c>
      <c r="X97" s="3" t="s">
        <v>670</v>
      </c>
      <c r="Y97" s="3" t="s">
        <v>1429</v>
      </c>
      <c r="Z97" s="3" t="s">
        <v>670</v>
      </c>
      <c r="AA97" s="3" t="s">
        <v>670</v>
      </c>
      <c r="AB97" s="3" t="s">
        <v>1430</v>
      </c>
      <c r="AC97" s="3" t="s">
        <v>1431</v>
      </c>
      <c r="AD97" s="3" t="s">
        <v>1185</v>
      </c>
      <c r="AE97" s="3" t="s">
        <v>1186</v>
      </c>
      <c r="AF97" s="3" t="s">
        <v>1187</v>
      </c>
      <c r="AG97" s="3" t="s">
        <v>1188</v>
      </c>
      <c r="AH97" s="3" t="s">
        <v>1189</v>
      </c>
      <c r="AI97" s="3" t="s">
        <v>1432</v>
      </c>
      <c r="AJ97" s="3" t="s">
        <v>1126</v>
      </c>
      <c r="AK97" s="3" t="s">
        <v>1192</v>
      </c>
      <c r="AL97" s="3" t="str">
        <f ca="1">IF(COUNTA(A97:AM97)=39,"OK","CHECK")</f>
        <v>OK</v>
      </c>
      <c r="AM97" s="3" t="s">
        <v>1193</v>
      </c>
    </row>
    <row r="98" spans="1:39" ht="36" customHeight="1">
      <c r="A98" s="2" t="s">
        <v>1433</v>
      </c>
      <c r="B98" s="2" t="s">
        <v>1434</v>
      </c>
      <c r="C98" s="2" t="s">
        <v>1435</v>
      </c>
      <c r="D98" s="2" t="s">
        <v>1436</v>
      </c>
      <c r="E98" s="2" t="s">
        <v>1437</v>
      </c>
      <c r="F98" s="2" t="s">
        <v>256</v>
      </c>
      <c r="G98" s="2" t="s">
        <v>1438</v>
      </c>
      <c r="H98" s="2" t="s">
        <v>1307</v>
      </c>
      <c r="I98" s="2" t="s">
        <v>1136</v>
      </c>
      <c r="J98" s="2" t="s">
        <v>1136</v>
      </c>
      <c r="K98" s="2" t="s">
        <v>1439</v>
      </c>
      <c r="L98" s="2" t="s">
        <v>670</v>
      </c>
      <c r="M98" s="2" t="s">
        <v>670</v>
      </c>
      <c r="N98" s="2" t="s">
        <v>1440</v>
      </c>
      <c r="O98" s="2" t="s">
        <v>670</v>
      </c>
      <c r="P98" s="2" t="s">
        <v>670</v>
      </c>
      <c r="Q98" s="2" t="s">
        <v>670</v>
      </c>
      <c r="R98" s="2" t="s">
        <v>1441</v>
      </c>
      <c r="S98" s="2" t="s">
        <v>1215</v>
      </c>
      <c r="T98" s="2" t="s">
        <v>1442</v>
      </c>
      <c r="U98" s="2" t="s">
        <v>1437</v>
      </c>
      <c r="V98" s="2" t="s">
        <v>1437</v>
      </c>
      <c r="W98" s="2" t="s">
        <v>670</v>
      </c>
      <c r="X98" s="2" t="s">
        <v>670</v>
      </c>
      <c r="Y98" s="2" t="s">
        <v>1443</v>
      </c>
      <c r="Z98" s="2" t="s">
        <v>643</v>
      </c>
      <c r="AA98" s="2" t="s">
        <v>1444</v>
      </c>
      <c r="AB98" s="2" t="s">
        <v>1445</v>
      </c>
      <c r="AC98" s="2" t="s">
        <v>670</v>
      </c>
      <c r="AD98" s="2" t="s">
        <v>1446</v>
      </c>
      <c r="AE98" s="2" t="s">
        <v>1186</v>
      </c>
      <c r="AF98" s="2" t="s">
        <v>1447</v>
      </c>
      <c r="AG98" s="2" t="s">
        <v>1448</v>
      </c>
      <c r="AH98" s="2" t="s">
        <v>1189</v>
      </c>
      <c r="AI98" s="2" t="s">
        <v>1445</v>
      </c>
      <c r="AJ98" s="2" t="s">
        <v>1449</v>
      </c>
      <c r="AK98" s="2" t="s">
        <v>1192</v>
      </c>
      <c r="AL98" s="2" t="str">
        <f ca="1">IF(COUNTA(A98:AM98)=39,"OK","CHECK")</f>
        <v>OK</v>
      </c>
      <c r="AM98" s="2" t="s">
        <v>1450</v>
      </c>
    </row>
    <row r="99" spans="1:39" ht="36" customHeight="1">
      <c r="A99" s="3" t="s">
        <v>1451</v>
      </c>
      <c r="B99" s="3" t="s">
        <v>1452</v>
      </c>
      <c r="C99" s="3" t="s">
        <v>1435</v>
      </c>
      <c r="D99" s="3" t="s">
        <v>1453</v>
      </c>
      <c r="E99" s="3" t="s">
        <v>1129</v>
      </c>
      <c r="F99" s="3" t="s">
        <v>256</v>
      </c>
      <c r="G99" s="3" t="s">
        <v>1454</v>
      </c>
      <c r="H99" s="3" t="s">
        <v>1212</v>
      </c>
      <c r="I99" s="3" t="s">
        <v>1136</v>
      </c>
      <c r="J99" s="3" t="s">
        <v>1136</v>
      </c>
      <c r="K99" s="3" t="s">
        <v>1455</v>
      </c>
      <c r="L99" s="3" t="s">
        <v>1456</v>
      </c>
      <c r="M99" s="3" t="s">
        <v>1457</v>
      </c>
      <c r="N99" s="3" t="s">
        <v>1458</v>
      </c>
      <c r="O99" s="3" t="s">
        <v>1459</v>
      </c>
      <c r="P99" s="3" t="s">
        <v>670</v>
      </c>
      <c r="Q99" s="3" t="s">
        <v>1460</v>
      </c>
      <c r="R99" s="3" t="s">
        <v>1179</v>
      </c>
      <c r="S99" s="3" t="s">
        <v>1215</v>
      </c>
      <c r="T99" s="3" t="s">
        <v>1442</v>
      </c>
      <c r="U99" s="3" t="s">
        <v>1461</v>
      </c>
      <c r="V99" s="3" t="s">
        <v>1179</v>
      </c>
      <c r="W99" s="3" t="s">
        <v>670</v>
      </c>
      <c r="X99" s="3" t="s">
        <v>1204</v>
      </c>
      <c r="Y99" s="3" t="s">
        <v>1270</v>
      </c>
      <c r="Z99" s="3" t="s">
        <v>670</v>
      </c>
      <c r="AA99" s="3" t="s">
        <v>670</v>
      </c>
      <c r="AB99" s="3" t="s">
        <v>1462</v>
      </c>
      <c r="AC99" s="3" t="s">
        <v>1333</v>
      </c>
      <c r="AD99" s="3" t="s">
        <v>1446</v>
      </c>
      <c r="AE99" s="3" t="s">
        <v>1186</v>
      </c>
      <c r="AF99" s="3" t="s">
        <v>1447</v>
      </c>
      <c r="AG99" s="3" t="s">
        <v>1448</v>
      </c>
      <c r="AH99" s="3" t="s">
        <v>1189</v>
      </c>
      <c r="AI99" s="3" t="s">
        <v>1462</v>
      </c>
      <c r="AJ99" s="3" t="s">
        <v>1449</v>
      </c>
      <c r="AK99" s="3" t="s">
        <v>1192</v>
      </c>
      <c r="AL99" s="3" t="str">
        <f ca="1">IF(COUNTA(A99:AM99)=39,"OK","CHECK")</f>
        <v>OK</v>
      </c>
      <c r="AM99" s="3" t="s">
        <v>1450</v>
      </c>
    </row>
    <row r="100" spans="1:39" ht="36" customHeight="1">
      <c r="A100" s="2" t="s">
        <v>1463</v>
      </c>
      <c r="B100" s="2" t="s">
        <v>1464</v>
      </c>
      <c r="C100" s="2" t="s">
        <v>1435</v>
      </c>
      <c r="D100" s="2" t="s">
        <v>1436</v>
      </c>
      <c r="E100" s="2" t="s">
        <v>1437</v>
      </c>
      <c r="F100" s="2" t="s">
        <v>256</v>
      </c>
      <c r="G100" s="2" t="s">
        <v>1465</v>
      </c>
      <c r="H100" s="2" t="s">
        <v>1466</v>
      </c>
      <c r="I100" s="2" t="s">
        <v>1225</v>
      </c>
      <c r="J100" s="2" t="s">
        <v>1136</v>
      </c>
      <c r="K100" s="2" t="s">
        <v>1467</v>
      </c>
      <c r="L100" s="2" t="s">
        <v>670</v>
      </c>
      <c r="M100" s="2" t="s">
        <v>670</v>
      </c>
      <c r="N100" s="2" t="s">
        <v>670</v>
      </c>
      <c r="O100" s="2" t="s">
        <v>670</v>
      </c>
      <c r="P100" s="2" t="s">
        <v>670</v>
      </c>
      <c r="Q100" s="2" t="s">
        <v>670</v>
      </c>
      <c r="R100" s="2" t="s">
        <v>1441</v>
      </c>
      <c r="S100" s="2" t="s">
        <v>1215</v>
      </c>
      <c r="T100" s="2" t="s">
        <v>1442</v>
      </c>
      <c r="U100" s="2" t="s">
        <v>1437</v>
      </c>
      <c r="V100" s="2" t="s">
        <v>1437</v>
      </c>
      <c r="W100" s="2" t="s">
        <v>670</v>
      </c>
      <c r="X100" s="2" t="s">
        <v>670</v>
      </c>
      <c r="Y100" s="2" t="s">
        <v>1468</v>
      </c>
      <c r="Z100" s="2" t="s">
        <v>643</v>
      </c>
      <c r="AA100" s="2" t="s">
        <v>1469</v>
      </c>
      <c r="AB100" s="2" t="s">
        <v>1470</v>
      </c>
      <c r="AC100" s="2" t="s">
        <v>670</v>
      </c>
      <c r="AD100" s="2" t="s">
        <v>1446</v>
      </c>
      <c r="AE100" s="2" t="s">
        <v>1186</v>
      </c>
      <c r="AF100" s="2" t="s">
        <v>1447</v>
      </c>
      <c r="AG100" s="2" t="s">
        <v>1448</v>
      </c>
      <c r="AH100" s="2" t="s">
        <v>1189</v>
      </c>
      <c r="AI100" s="2" t="s">
        <v>1470</v>
      </c>
      <c r="AJ100" s="2" t="s">
        <v>1449</v>
      </c>
      <c r="AK100" s="2" t="s">
        <v>1192</v>
      </c>
      <c r="AL100" s="2" t="str">
        <f ca="1">IF(COUNTA(A100:AM100)=39,"OK","CHECK")</f>
        <v>OK</v>
      </c>
      <c r="AM100" s="2" t="s">
        <v>1450</v>
      </c>
    </row>
    <row r="101" spans="1:39" ht="36" customHeight="1">
      <c r="A101" s="3" t="s">
        <v>1471</v>
      </c>
      <c r="B101" s="3" t="s">
        <v>1472</v>
      </c>
      <c r="C101" s="3" t="s">
        <v>1435</v>
      </c>
      <c r="D101" s="3" t="s">
        <v>1436</v>
      </c>
      <c r="E101" s="3" t="s">
        <v>1210</v>
      </c>
      <c r="F101" s="3" t="s">
        <v>256</v>
      </c>
      <c r="G101" s="3" t="s">
        <v>1465</v>
      </c>
      <c r="H101" s="3" t="s">
        <v>1473</v>
      </c>
      <c r="I101" s="3" t="s">
        <v>1199</v>
      </c>
      <c r="J101" s="3" t="s">
        <v>1136</v>
      </c>
      <c r="K101" s="3" t="s">
        <v>1474</v>
      </c>
      <c r="L101" s="3" t="s">
        <v>670</v>
      </c>
      <c r="M101" s="3" t="s">
        <v>670</v>
      </c>
      <c r="N101" s="3" t="s">
        <v>670</v>
      </c>
      <c r="O101" s="3" t="s">
        <v>670</v>
      </c>
      <c r="P101" s="3" t="s">
        <v>670</v>
      </c>
      <c r="Q101" s="3" t="s">
        <v>670</v>
      </c>
      <c r="R101" s="3" t="s">
        <v>1179</v>
      </c>
      <c r="S101" s="3" t="s">
        <v>1215</v>
      </c>
      <c r="T101" s="3" t="s">
        <v>1475</v>
      </c>
      <c r="U101" s="3" t="s">
        <v>1476</v>
      </c>
      <c r="V101" s="3" t="s">
        <v>1179</v>
      </c>
      <c r="W101" s="3" t="s">
        <v>670</v>
      </c>
      <c r="X101" s="3" t="s">
        <v>670</v>
      </c>
      <c r="Y101" s="3" t="s">
        <v>1443</v>
      </c>
      <c r="Z101" s="3" t="s">
        <v>643</v>
      </c>
      <c r="AA101" s="3" t="s">
        <v>1444</v>
      </c>
      <c r="AB101" s="3" t="s">
        <v>1477</v>
      </c>
      <c r="AC101" s="3" t="s">
        <v>670</v>
      </c>
      <c r="AD101" s="3" t="s">
        <v>1446</v>
      </c>
      <c r="AE101" s="3" t="s">
        <v>1186</v>
      </c>
      <c r="AF101" s="3" t="s">
        <v>1447</v>
      </c>
      <c r="AG101" s="3" t="s">
        <v>1448</v>
      </c>
      <c r="AH101" s="3" t="s">
        <v>1189</v>
      </c>
      <c r="AI101" s="3" t="s">
        <v>1477</v>
      </c>
      <c r="AJ101" s="3" t="s">
        <v>1449</v>
      </c>
      <c r="AK101" s="3" t="s">
        <v>1192</v>
      </c>
      <c r="AL101" s="3" t="str">
        <f ca="1">IF(COUNTA(A101:AM101)=39,"OK","CHECK")</f>
        <v>OK</v>
      </c>
      <c r="AM101" s="3" t="s">
        <v>1450</v>
      </c>
    </row>
    <row r="102" spans="1:39" ht="36" customHeight="1">
      <c r="A102" s="2" t="s">
        <v>1478</v>
      </c>
      <c r="B102" s="2" t="s">
        <v>1479</v>
      </c>
      <c r="C102" s="2" t="s">
        <v>1435</v>
      </c>
      <c r="D102" s="2" t="s">
        <v>1350</v>
      </c>
      <c r="E102" s="2" t="s">
        <v>1129</v>
      </c>
      <c r="F102" s="2" t="s">
        <v>256</v>
      </c>
      <c r="G102" s="2" t="s">
        <v>1480</v>
      </c>
      <c r="H102" s="2" t="s">
        <v>1307</v>
      </c>
      <c r="I102" s="2" t="s">
        <v>1136</v>
      </c>
      <c r="J102" s="2" t="s">
        <v>1136</v>
      </c>
      <c r="K102" s="2" t="s">
        <v>1481</v>
      </c>
      <c r="L102" s="2" t="s">
        <v>1482</v>
      </c>
      <c r="M102" s="2" t="s">
        <v>1483</v>
      </c>
      <c r="N102" s="2" t="s">
        <v>1459</v>
      </c>
      <c r="O102" s="2" t="s">
        <v>1484</v>
      </c>
      <c r="P102" s="2" t="s">
        <v>670</v>
      </c>
      <c r="Q102" s="2" t="s">
        <v>1485</v>
      </c>
      <c r="R102" s="2" t="s">
        <v>1179</v>
      </c>
      <c r="S102" s="2" t="s">
        <v>1486</v>
      </c>
      <c r="T102" s="2" t="s">
        <v>1442</v>
      </c>
      <c r="U102" s="2" t="s">
        <v>1487</v>
      </c>
      <c r="V102" s="2" t="s">
        <v>1179</v>
      </c>
      <c r="W102" s="2" t="s">
        <v>670</v>
      </c>
      <c r="X102" s="2" t="s">
        <v>1204</v>
      </c>
      <c r="Y102" s="2" t="s">
        <v>1270</v>
      </c>
      <c r="Z102" s="2" t="s">
        <v>651</v>
      </c>
      <c r="AA102" s="2" t="s">
        <v>1488</v>
      </c>
      <c r="AB102" s="2" t="s">
        <v>1489</v>
      </c>
      <c r="AC102" s="2" t="s">
        <v>1490</v>
      </c>
      <c r="AD102" s="2" t="s">
        <v>1446</v>
      </c>
      <c r="AE102" s="2" t="s">
        <v>1186</v>
      </c>
      <c r="AF102" s="2" t="s">
        <v>1447</v>
      </c>
      <c r="AG102" s="2" t="s">
        <v>1448</v>
      </c>
      <c r="AH102" s="2" t="s">
        <v>1189</v>
      </c>
      <c r="AI102" s="2" t="s">
        <v>1489</v>
      </c>
      <c r="AJ102" s="2" t="s">
        <v>1449</v>
      </c>
      <c r="AK102" s="2" t="s">
        <v>1192</v>
      </c>
      <c r="AL102" s="2" t="str">
        <f ca="1">IF(COUNTA(A102:AM102)=39,"OK","CHECK")</f>
        <v>OK</v>
      </c>
      <c r="AM102" s="2" t="s">
        <v>1450</v>
      </c>
    </row>
    <row r="103" spans="1:39" ht="36" customHeight="1">
      <c r="A103" s="3" t="s">
        <v>1491</v>
      </c>
      <c r="B103" s="3" t="s">
        <v>1492</v>
      </c>
      <c r="C103" s="3" t="s">
        <v>1435</v>
      </c>
      <c r="D103" s="3" t="s">
        <v>1436</v>
      </c>
      <c r="E103" s="3" t="s">
        <v>1493</v>
      </c>
      <c r="F103" s="3" t="s">
        <v>256</v>
      </c>
      <c r="G103" s="3" t="s">
        <v>1244</v>
      </c>
      <c r="H103" s="3" t="s">
        <v>1494</v>
      </c>
      <c r="I103" s="3" t="s">
        <v>1199</v>
      </c>
      <c r="J103" s="3" t="s">
        <v>1136</v>
      </c>
      <c r="K103" s="3" t="s">
        <v>1495</v>
      </c>
      <c r="L103" s="3" t="s">
        <v>670</v>
      </c>
      <c r="M103" s="3" t="s">
        <v>670</v>
      </c>
      <c r="N103" s="3" t="s">
        <v>670</v>
      </c>
      <c r="O103" s="3" t="s">
        <v>670</v>
      </c>
      <c r="P103" s="3" t="s">
        <v>670</v>
      </c>
      <c r="Q103" s="3" t="s">
        <v>670</v>
      </c>
      <c r="R103" s="3" t="s">
        <v>1496</v>
      </c>
      <c r="S103" s="3" t="s">
        <v>1215</v>
      </c>
      <c r="T103" s="3" t="s">
        <v>1442</v>
      </c>
      <c r="U103" s="3" t="s">
        <v>1497</v>
      </c>
      <c r="V103" s="3" t="s">
        <v>1498</v>
      </c>
      <c r="W103" s="3" t="s">
        <v>1249</v>
      </c>
      <c r="X103" s="3" t="s">
        <v>670</v>
      </c>
      <c r="Y103" s="3" t="s">
        <v>1443</v>
      </c>
      <c r="Z103" s="3" t="s">
        <v>643</v>
      </c>
      <c r="AA103" s="3" t="s">
        <v>1499</v>
      </c>
      <c r="AB103" s="3" t="s">
        <v>1500</v>
      </c>
      <c r="AC103" s="3" t="s">
        <v>670</v>
      </c>
      <c r="AD103" s="3" t="s">
        <v>1446</v>
      </c>
      <c r="AE103" s="3" t="s">
        <v>1186</v>
      </c>
      <c r="AF103" s="3" t="s">
        <v>1447</v>
      </c>
      <c r="AG103" s="3" t="s">
        <v>1448</v>
      </c>
      <c r="AH103" s="3" t="s">
        <v>1189</v>
      </c>
      <c r="AI103" s="3" t="s">
        <v>1500</v>
      </c>
      <c r="AJ103" s="3" t="s">
        <v>1449</v>
      </c>
      <c r="AK103" s="3" t="s">
        <v>1192</v>
      </c>
      <c r="AL103" s="3" t="str">
        <f ca="1">IF(COUNTA(A103:AM103)=39,"OK","CHECK")</f>
        <v>OK</v>
      </c>
      <c r="AM103" s="3" t="s">
        <v>1450</v>
      </c>
    </row>
    <row r="104" spans="1:39" ht="36" customHeight="1">
      <c r="A104" s="2" t="s">
        <v>1501</v>
      </c>
      <c r="B104" s="2" t="s">
        <v>1502</v>
      </c>
      <c r="C104" s="2" t="s">
        <v>1435</v>
      </c>
      <c r="D104" s="2" t="s">
        <v>1503</v>
      </c>
      <c r="E104" s="2" t="s">
        <v>1129</v>
      </c>
      <c r="F104" s="2" t="s">
        <v>256</v>
      </c>
      <c r="G104" s="2" t="s">
        <v>1504</v>
      </c>
      <c r="H104" s="2" t="s">
        <v>1505</v>
      </c>
      <c r="I104" s="2" t="s">
        <v>1225</v>
      </c>
      <c r="J104" s="2" t="s">
        <v>1199</v>
      </c>
      <c r="K104" s="2" t="s">
        <v>1506</v>
      </c>
      <c r="L104" s="2" t="s">
        <v>670</v>
      </c>
      <c r="M104" s="2" t="s">
        <v>670</v>
      </c>
      <c r="N104" s="2" t="s">
        <v>670</v>
      </c>
      <c r="O104" s="2" t="s">
        <v>670</v>
      </c>
      <c r="P104" s="2" t="s">
        <v>670</v>
      </c>
      <c r="Q104" s="2" t="s">
        <v>670</v>
      </c>
      <c r="R104" s="2" t="s">
        <v>1179</v>
      </c>
      <c r="S104" s="2" t="s">
        <v>1215</v>
      </c>
      <c r="T104" s="2" t="s">
        <v>1475</v>
      </c>
      <c r="U104" s="2" t="s">
        <v>1476</v>
      </c>
      <c r="V104" s="2" t="s">
        <v>1179</v>
      </c>
      <c r="W104" s="2" t="s">
        <v>670</v>
      </c>
      <c r="X104" s="2" t="s">
        <v>670</v>
      </c>
      <c r="Y104" s="2" t="s">
        <v>1443</v>
      </c>
      <c r="Z104" s="2" t="s">
        <v>651</v>
      </c>
      <c r="AA104" s="2" t="s">
        <v>1444</v>
      </c>
      <c r="AB104" s="2" t="s">
        <v>1507</v>
      </c>
      <c r="AC104" s="2" t="s">
        <v>670</v>
      </c>
      <c r="AD104" s="2" t="s">
        <v>1446</v>
      </c>
      <c r="AE104" s="2" t="s">
        <v>1186</v>
      </c>
      <c r="AF104" s="2" t="s">
        <v>1447</v>
      </c>
      <c r="AG104" s="2" t="s">
        <v>1448</v>
      </c>
      <c r="AH104" s="2" t="s">
        <v>1189</v>
      </c>
      <c r="AI104" s="2" t="s">
        <v>1507</v>
      </c>
      <c r="AJ104" s="2" t="s">
        <v>1449</v>
      </c>
      <c r="AK104" s="2" t="s">
        <v>1192</v>
      </c>
      <c r="AL104" s="2" t="str">
        <f ca="1">IF(COUNTA(A104:AM104)=39,"OK","CHECK")</f>
        <v>OK</v>
      </c>
      <c r="AM104" s="2" t="s">
        <v>1450</v>
      </c>
    </row>
    <row r="105" spans="1:39" ht="36" customHeight="1">
      <c r="A105" s="3" t="s">
        <v>1508</v>
      </c>
      <c r="B105" s="3" t="s">
        <v>1509</v>
      </c>
      <c r="C105" s="3" t="s">
        <v>1435</v>
      </c>
      <c r="D105" s="3" t="s">
        <v>1312</v>
      </c>
      <c r="E105" s="3" t="s">
        <v>1129</v>
      </c>
      <c r="F105" s="3" t="s">
        <v>256</v>
      </c>
      <c r="G105" s="3" t="s">
        <v>1480</v>
      </c>
      <c r="H105" s="3" t="s">
        <v>1307</v>
      </c>
      <c r="I105" s="3" t="s">
        <v>1136</v>
      </c>
      <c r="J105" s="3" t="s">
        <v>1136</v>
      </c>
      <c r="K105" s="3" t="s">
        <v>1510</v>
      </c>
      <c r="L105" s="3" t="s">
        <v>1511</v>
      </c>
      <c r="M105" s="3" t="s">
        <v>1512</v>
      </c>
      <c r="N105" s="3" t="s">
        <v>1459</v>
      </c>
      <c r="O105" s="3" t="s">
        <v>1440</v>
      </c>
      <c r="P105" s="3" t="s">
        <v>670</v>
      </c>
      <c r="Q105" s="3" t="s">
        <v>1513</v>
      </c>
      <c r="R105" s="3" t="s">
        <v>1318</v>
      </c>
      <c r="S105" s="3" t="s">
        <v>1486</v>
      </c>
      <c r="T105" s="3" t="s">
        <v>1442</v>
      </c>
      <c r="U105" s="3" t="s">
        <v>1514</v>
      </c>
      <c r="V105" s="3" t="s">
        <v>1318</v>
      </c>
      <c r="W105" s="3" t="s">
        <v>1515</v>
      </c>
      <c r="X105" s="3" t="s">
        <v>1204</v>
      </c>
      <c r="Y105" s="3" t="s">
        <v>1270</v>
      </c>
      <c r="Z105" s="3" t="s">
        <v>670</v>
      </c>
      <c r="AA105" s="3" t="s">
        <v>670</v>
      </c>
      <c r="AB105" s="3" t="s">
        <v>1516</v>
      </c>
      <c r="AC105" s="3" t="s">
        <v>1490</v>
      </c>
      <c r="AD105" s="3" t="s">
        <v>1446</v>
      </c>
      <c r="AE105" s="3" t="s">
        <v>1186</v>
      </c>
      <c r="AF105" s="3" t="s">
        <v>1447</v>
      </c>
      <c r="AG105" s="3" t="s">
        <v>1448</v>
      </c>
      <c r="AH105" s="3" t="s">
        <v>1189</v>
      </c>
      <c r="AI105" s="3" t="s">
        <v>1516</v>
      </c>
      <c r="AJ105" s="3" t="s">
        <v>1449</v>
      </c>
      <c r="AK105" s="3" t="s">
        <v>1192</v>
      </c>
      <c r="AL105" s="3" t="str">
        <f ca="1">IF(COUNTA(A105:AM105)=39,"OK","CHECK")</f>
        <v>OK</v>
      </c>
      <c r="AM105" s="3" t="s">
        <v>1450</v>
      </c>
    </row>
    <row r="106" spans="1:39" ht="36" customHeight="1">
      <c r="A106" s="2" t="s">
        <v>1517</v>
      </c>
      <c r="B106" s="2" t="s">
        <v>1518</v>
      </c>
      <c r="C106" s="2" t="s">
        <v>1435</v>
      </c>
      <c r="D106" s="2" t="s">
        <v>1381</v>
      </c>
      <c r="E106" s="2" t="s">
        <v>1519</v>
      </c>
      <c r="F106" s="2" t="s">
        <v>256</v>
      </c>
      <c r="G106" s="2" t="s">
        <v>1244</v>
      </c>
      <c r="H106" s="2" t="s">
        <v>1466</v>
      </c>
      <c r="I106" s="2" t="s">
        <v>1135</v>
      </c>
      <c r="J106" s="2" t="s">
        <v>1136</v>
      </c>
      <c r="K106" s="2" t="s">
        <v>1520</v>
      </c>
      <c r="L106" s="2" t="s">
        <v>670</v>
      </c>
      <c r="M106" s="2" t="s">
        <v>670</v>
      </c>
      <c r="N106" s="2" t="s">
        <v>670</v>
      </c>
      <c r="O106" s="2" t="s">
        <v>670</v>
      </c>
      <c r="P106" s="2" t="s">
        <v>670</v>
      </c>
      <c r="Q106" s="2" t="s">
        <v>670</v>
      </c>
      <c r="R106" s="2" t="s">
        <v>1179</v>
      </c>
      <c r="S106" s="2" t="s">
        <v>1215</v>
      </c>
      <c r="T106" s="2" t="s">
        <v>1521</v>
      </c>
      <c r="U106" s="2" t="s">
        <v>1522</v>
      </c>
      <c r="V106" s="2" t="s">
        <v>1179</v>
      </c>
      <c r="W106" s="2" t="s">
        <v>670</v>
      </c>
      <c r="X106" s="2" t="s">
        <v>670</v>
      </c>
      <c r="Y106" s="2" t="s">
        <v>1443</v>
      </c>
      <c r="Z106" s="2" t="s">
        <v>643</v>
      </c>
      <c r="AA106" s="2" t="s">
        <v>1523</v>
      </c>
      <c r="AB106" s="2" t="s">
        <v>1524</v>
      </c>
      <c r="AC106" s="2" t="s">
        <v>670</v>
      </c>
      <c r="AD106" s="2" t="s">
        <v>1446</v>
      </c>
      <c r="AE106" s="2" t="s">
        <v>1186</v>
      </c>
      <c r="AF106" s="2" t="s">
        <v>1447</v>
      </c>
      <c r="AG106" s="2" t="s">
        <v>1448</v>
      </c>
      <c r="AH106" s="2" t="s">
        <v>1189</v>
      </c>
      <c r="AI106" s="2" t="s">
        <v>1524</v>
      </c>
      <c r="AJ106" s="2" t="s">
        <v>1449</v>
      </c>
      <c r="AK106" s="2" t="s">
        <v>1192</v>
      </c>
      <c r="AL106" s="2" t="str">
        <f ca="1">IF(COUNTA(A106:AM106)=39,"OK","CHECK")</f>
        <v>OK</v>
      </c>
      <c r="AM106" s="2" t="s">
        <v>1450</v>
      </c>
    </row>
    <row r="107" spans="1:39" ht="36" customHeight="1">
      <c r="A107" s="3" t="s">
        <v>1525</v>
      </c>
      <c r="B107" s="3" t="s">
        <v>1526</v>
      </c>
      <c r="C107" s="3" t="s">
        <v>1435</v>
      </c>
      <c r="D107" s="3" t="s">
        <v>1381</v>
      </c>
      <c r="E107" s="3" t="s">
        <v>1437</v>
      </c>
      <c r="F107" s="3" t="s">
        <v>256</v>
      </c>
      <c r="G107" s="3" t="s">
        <v>1527</v>
      </c>
      <c r="H107" s="3" t="s">
        <v>1307</v>
      </c>
      <c r="I107" s="3" t="s">
        <v>1136</v>
      </c>
      <c r="J107" s="3" t="s">
        <v>1136</v>
      </c>
      <c r="K107" s="3" t="s">
        <v>1528</v>
      </c>
      <c r="L107" s="3" t="s">
        <v>670</v>
      </c>
      <c r="M107" s="3" t="s">
        <v>670</v>
      </c>
      <c r="N107" s="3" t="s">
        <v>670</v>
      </c>
      <c r="O107" s="3" t="s">
        <v>670</v>
      </c>
      <c r="P107" s="3" t="s">
        <v>670</v>
      </c>
      <c r="Q107" s="3" t="s">
        <v>670</v>
      </c>
      <c r="R107" s="3" t="s">
        <v>1441</v>
      </c>
      <c r="S107" s="3" t="s">
        <v>1215</v>
      </c>
      <c r="T107" s="3" t="s">
        <v>1442</v>
      </c>
      <c r="U107" s="3" t="s">
        <v>1437</v>
      </c>
      <c r="V107" s="3" t="s">
        <v>1437</v>
      </c>
      <c r="W107" s="3" t="s">
        <v>670</v>
      </c>
      <c r="X107" s="3" t="s">
        <v>670</v>
      </c>
      <c r="Y107" s="3" t="s">
        <v>1443</v>
      </c>
      <c r="Z107" s="3" t="s">
        <v>643</v>
      </c>
      <c r="AA107" s="3" t="s">
        <v>1529</v>
      </c>
      <c r="AB107" s="3" t="s">
        <v>1530</v>
      </c>
      <c r="AC107" s="3" t="s">
        <v>670</v>
      </c>
      <c r="AD107" s="3" t="s">
        <v>1446</v>
      </c>
      <c r="AE107" s="3" t="s">
        <v>1186</v>
      </c>
      <c r="AF107" s="3" t="s">
        <v>1447</v>
      </c>
      <c r="AG107" s="3" t="s">
        <v>1448</v>
      </c>
      <c r="AH107" s="3" t="s">
        <v>1189</v>
      </c>
      <c r="AI107" s="3" t="s">
        <v>1530</v>
      </c>
      <c r="AJ107" s="3" t="s">
        <v>1449</v>
      </c>
      <c r="AK107" s="3" t="s">
        <v>1192</v>
      </c>
      <c r="AL107" s="3" t="str">
        <f ca="1">IF(COUNTA(A107:AM107)=39,"OK","CHECK")</f>
        <v>OK</v>
      </c>
      <c r="AM107" s="3" t="s">
        <v>1450</v>
      </c>
    </row>
    <row r="108" spans="1:39" ht="36" customHeight="1">
      <c r="A108" s="2" t="s">
        <v>1531</v>
      </c>
      <c r="B108" s="2" t="s">
        <v>1532</v>
      </c>
      <c r="C108" s="2" t="s">
        <v>1435</v>
      </c>
      <c r="D108" s="2" t="s">
        <v>1453</v>
      </c>
      <c r="E108" s="2" t="s">
        <v>1129</v>
      </c>
      <c r="F108" s="2" t="s">
        <v>256</v>
      </c>
      <c r="G108" s="2" t="s">
        <v>1480</v>
      </c>
      <c r="H108" s="2" t="s">
        <v>1307</v>
      </c>
      <c r="I108" s="2" t="s">
        <v>1199</v>
      </c>
      <c r="J108" s="2" t="s">
        <v>1136</v>
      </c>
      <c r="K108" s="2" t="s">
        <v>1533</v>
      </c>
      <c r="L108" s="2" t="s">
        <v>670</v>
      </c>
      <c r="M108" s="2" t="s">
        <v>1483</v>
      </c>
      <c r="N108" s="2" t="s">
        <v>1459</v>
      </c>
      <c r="O108" s="2" t="s">
        <v>670</v>
      </c>
      <c r="P108" s="2" t="s">
        <v>670</v>
      </c>
      <c r="Q108" s="2" t="s">
        <v>1534</v>
      </c>
      <c r="R108" s="2" t="s">
        <v>1179</v>
      </c>
      <c r="S108" s="2" t="s">
        <v>1354</v>
      </c>
      <c r="T108" s="2" t="s">
        <v>1442</v>
      </c>
      <c r="U108" s="2" t="s">
        <v>1534</v>
      </c>
      <c r="V108" s="2" t="s">
        <v>1179</v>
      </c>
      <c r="W108" s="2" t="s">
        <v>670</v>
      </c>
      <c r="X108" s="2" t="s">
        <v>1204</v>
      </c>
      <c r="Y108" s="2" t="s">
        <v>1270</v>
      </c>
      <c r="Z108" s="2" t="s">
        <v>670</v>
      </c>
      <c r="AA108" s="2" t="s">
        <v>1535</v>
      </c>
      <c r="AB108" s="2" t="s">
        <v>1536</v>
      </c>
      <c r="AC108" s="2" t="s">
        <v>1537</v>
      </c>
      <c r="AD108" s="2" t="s">
        <v>1446</v>
      </c>
      <c r="AE108" s="2" t="s">
        <v>1186</v>
      </c>
      <c r="AF108" s="2" t="s">
        <v>1447</v>
      </c>
      <c r="AG108" s="2" t="s">
        <v>1448</v>
      </c>
      <c r="AH108" s="2" t="s">
        <v>1189</v>
      </c>
      <c r="AI108" s="2" t="s">
        <v>1536</v>
      </c>
      <c r="AJ108" s="2" t="s">
        <v>1449</v>
      </c>
      <c r="AK108" s="2" t="s">
        <v>1192</v>
      </c>
      <c r="AL108" s="2" t="str">
        <f ca="1">IF(COUNTA(A108:AM108)=39,"OK","CHECK")</f>
        <v>OK</v>
      </c>
      <c r="AM108" s="2" t="s">
        <v>1450</v>
      </c>
    </row>
    <row r="109" spans="1:39" ht="36" customHeight="1">
      <c r="A109" s="3" t="s">
        <v>1538</v>
      </c>
      <c r="B109" s="3" t="s">
        <v>1539</v>
      </c>
      <c r="C109" s="3" t="s">
        <v>1435</v>
      </c>
      <c r="D109" s="3" t="s">
        <v>1436</v>
      </c>
      <c r="E109" s="3" t="s">
        <v>1437</v>
      </c>
      <c r="F109" s="3" t="s">
        <v>256</v>
      </c>
      <c r="G109" s="3" t="s">
        <v>1527</v>
      </c>
      <c r="H109" s="3" t="s">
        <v>1473</v>
      </c>
      <c r="I109" s="3" t="s">
        <v>1136</v>
      </c>
      <c r="J109" s="3" t="s">
        <v>1136</v>
      </c>
      <c r="K109" s="3" t="s">
        <v>1540</v>
      </c>
      <c r="L109" s="3" t="s">
        <v>670</v>
      </c>
      <c r="M109" s="3" t="s">
        <v>1541</v>
      </c>
      <c r="N109" s="3" t="s">
        <v>670</v>
      </c>
      <c r="O109" s="3" t="s">
        <v>1542</v>
      </c>
      <c r="P109" s="3" t="s">
        <v>670</v>
      </c>
      <c r="Q109" s="3" t="s">
        <v>1543</v>
      </c>
      <c r="R109" s="3" t="s">
        <v>1179</v>
      </c>
      <c r="S109" s="3" t="s">
        <v>1544</v>
      </c>
      <c r="T109" s="3" t="s">
        <v>1442</v>
      </c>
      <c r="U109" s="3" t="s">
        <v>1545</v>
      </c>
      <c r="V109" s="3" t="s">
        <v>1437</v>
      </c>
      <c r="W109" s="3" t="s">
        <v>670</v>
      </c>
      <c r="X109" s="3" t="s">
        <v>1546</v>
      </c>
      <c r="Y109" s="3" t="s">
        <v>1443</v>
      </c>
      <c r="Z109" s="3" t="s">
        <v>643</v>
      </c>
      <c r="AA109" s="3" t="s">
        <v>1547</v>
      </c>
      <c r="AB109" s="3" t="s">
        <v>1548</v>
      </c>
      <c r="AC109" s="3" t="s">
        <v>1549</v>
      </c>
      <c r="AD109" s="3" t="s">
        <v>1446</v>
      </c>
      <c r="AE109" s="3" t="s">
        <v>1186</v>
      </c>
      <c r="AF109" s="3" t="s">
        <v>1447</v>
      </c>
      <c r="AG109" s="3" t="s">
        <v>1448</v>
      </c>
      <c r="AH109" s="3" t="s">
        <v>1189</v>
      </c>
      <c r="AI109" s="3" t="s">
        <v>1548</v>
      </c>
      <c r="AJ109" s="3" t="s">
        <v>1449</v>
      </c>
      <c r="AK109" s="3" t="s">
        <v>1192</v>
      </c>
      <c r="AL109" s="3" t="str">
        <f ca="1">IF(COUNTA(A109:AM109)=39,"OK","CHECK")</f>
        <v>OK</v>
      </c>
      <c r="AM109" s="3" t="s">
        <v>1450</v>
      </c>
    </row>
    <row r="110" spans="1:39" ht="36" customHeight="1">
      <c r="A110" s="2" t="s">
        <v>1550</v>
      </c>
      <c r="B110" s="2" t="s">
        <v>1551</v>
      </c>
      <c r="C110" s="2" t="s">
        <v>1435</v>
      </c>
      <c r="D110" s="2" t="s">
        <v>1312</v>
      </c>
      <c r="E110" s="2" t="s">
        <v>1129</v>
      </c>
      <c r="F110" s="2" t="s">
        <v>256</v>
      </c>
      <c r="G110" s="2" t="s">
        <v>177</v>
      </c>
      <c r="H110" s="2" t="s">
        <v>1473</v>
      </c>
      <c r="I110" s="2" t="s">
        <v>1136</v>
      </c>
      <c r="J110" s="2" t="s">
        <v>1136</v>
      </c>
      <c r="K110" s="2" t="s">
        <v>1552</v>
      </c>
      <c r="L110" s="2" t="s">
        <v>1553</v>
      </c>
      <c r="M110" s="2" t="s">
        <v>1554</v>
      </c>
      <c r="N110" s="2" t="s">
        <v>1555</v>
      </c>
      <c r="O110" s="2" t="s">
        <v>1556</v>
      </c>
      <c r="P110" s="2" t="s">
        <v>670</v>
      </c>
      <c r="Q110" s="2" t="s">
        <v>1557</v>
      </c>
      <c r="R110" s="2" t="s">
        <v>1179</v>
      </c>
      <c r="S110" s="2" t="s">
        <v>1558</v>
      </c>
      <c r="T110" s="2" t="s">
        <v>1442</v>
      </c>
      <c r="U110" s="2" t="s">
        <v>1557</v>
      </c>
      <c r="V110" s="2" t="s">
        <v>1179</v>
      </c>
      <c r="W110" s="2" t="s">
        <v>670</v>
      </c>
      <c r="X110" s="2" t="s">
        <v>1559</v>
      </c>
      <c r="Y110" s="2" t="s">
        <v>1560</v>
      </c>
      <c r="Z110" s="2" t="s">
        <v>670</v>
      </c>
      <c r="AA110" s="2" t="s">
        <v>670</v>
      </c>
      <c r="AB110" s="2" t="s">
        <v>1561</v>
      </c>
      <c r="AC110" s="2" t="s">
        <v>1562</v>
      </c>
      <c r="AD110" s="2" t="s">
        <v>1446</v>
      </c>
      <c r="AE110" s="2" t="s">
        <v>1186</v>
      </c>
      <c r="AF110" s="2" t="s">
        <v>1447</v>
      </c>
      <c r="AG110" s="2" t="s">
        <v>1448</v>
      </c>
      <c r="AH110" s="2" t="s">
        <v>1189</v>
      </c>
      <c r="AI110" s="2" t="s">
        <v>1561</v>
      </c>
      <c r="AJ110" s="2" t="s">
        <v>1449</v>
      </c>
      <c r="AK110" s="2" t="s">
        <v>1192</v>
      </c>
      <c r="AL110" s="2" t="str">
        <f ca="1">IF(COUNTA(A110:AM110)=39,"OK","CHECK")</f>
        <v>OK</v>
      </c>
      <c r="AM110" s="2" t="s">
        <v>1450</v>
      </c>
    </row>
    <row r="111" spans="1:39" ht="36" customHeight="1">
      <c r="A111" s="3" t="s">
        <v>1563</v>
      </c>
      <c r="B111" s="3" t="s">
        <v>1564</v>
      </c>
      <c r="C111" s="3" t="s">
        <v>1435</v>
      </c>
      <c r="D111" s="3" t="s">
        <v>1565</v>
      </c>
      <c r="E111" s="3" t="s">
        <v>1129</v>
      </c>
      <c r="F111" s="3" t="s">
        <v>256</v>
      </c>
      <c r="G111" s="3" t="s">
        <v>1566</v>
      </c>
      <c r="H111" s="3" t="s">
        <v>1494</v>
      </c>
      <c r="I111" s="3" t="s">
        <v>1199</v>
      </c>
      <c r="J111" s="3" t="s">
        <v>1136</v>
      </c>
      <c r="K111" s="3" t="s">
        <v>1567</v>
      </c>
      <c r="L111" s="3" t="s">
        <v>1568</v>
      </c>
      <c r="M111" s="3" t="s">
        <v>1569</v>
      </c>
      <c r="N111" s="3" t="s">
        <v>1555</v>
      </c>
      <c r="O111" s="3" t="s">
        <v>1407</v>
      </c>
      <c r="P111" s="3" t="s">
        <v>670</v>
      </c>
      <c r="Q111" s="3" t="s">
        <v>1557</v>
      </c>
      <c r="R111" s="3" t="s">
        <v>1179</v>
      </c>
      <c r="S111" s="3" t="s">
        <v>1558</v>
      </c>
      <c r="T111" s="3" t="s">
        <v>1442</v>
      </c>
      <c r="U111" s="3" t="s">
        <v>1557</v>
      </c>
      <c r="V111" s="3" t="s">
        <v>1179</v>
      </c>
      <c r="W111" s="3" t="s">
        <v>670</v>
      </c>
      <c r="X111" s="3" t="s">
        <v>1559</v>
      </c>
      <c r="Y111" s="3" t="s">
        <v>1560</v>
      </c>
      <c r="Z111" s="3" t="s">
        <v>643</v>
      </c>
      <c r="AA111" s="3" t="s">
        <v>1570</v>
      </c>
      <c r="AB111" s="3" t="s">
        <v>1571</v>
      </c>
      <c r="AC111" s="3" t="s">
        <v>1562</v>
      </c>
      <c r="AD111" s="3" t="s">
        <v>1446</v>
      </c>
      <c r="AE111" s="3" t="s">
        <v>1186</v>
      </c>
      <c r="AF111" s="3" t="s">
        <v>1447</v>
      </c>
      <c r="AG111" s="3" t="s">
        <v>1448</v>
      </c>
      <c r="AH111" s="3" t="s">
        <v>1189</v>
      </c>
      <c r="AI111" s="3" t="s">
        <v>1571</v>
      </c>
      <c r="AJ111" s="3" t="s">
        <v>1449</v>
      </c>
      <c r="AK111" s="3" t="s">
        <v>1192</v>
      </c>
      <c r="AL111" s="3" t="str">
        <f ca="1">IF(COUNTA(A111:AM111)=39,"OK","CHECK")</f>
        <v>OK</v>
      </c>
      <c r="AM111" s="3" t="s">
        <v>1450</v>
      </c>
    </row>
    <row r="112" spans="1:39" ht="36" customHeight="1">
      <c r="A112" s="2" t="s">
        <v>1572</v>
      </c>
      <c r="B112" s="2" t="s">
        <v>1573</v>
      </c>
      <c r="C112" s="2" t="s">
        <v>1435</v>
      </c>
      <c r="D112" s="2" t="s">
        <v>1312</v>
      </c>
      <c r="E112" s="2" t="s">
        <v>1129</v>
      </c>
      <c r="F112" s="2" t="s">
        <v>256</v>
      </c>
      <c r="G112" s="2" t="s">
        <v>1574</v>
      </c>
      <c r="H112" s="2" t="s">
        <v>1505</v>
      </c>
      <c r="I112" s="2" t="s">
        <v>1135</v>
      </c>
      <c r="J112" s="2" t="s">
        <v>1199</v>
      </c>
      <c r="K112" s="2" t="s">
        <v>1575</v>
      </c>
      <c r="L112" s="2" t="s">
        <v>1576</v>
      </c>
      <c r="M112" s="2" t="s">
        <v>1577</v>
      </c>
      <c r="N112" s="2" t="s">
        <v>1578</v>
      </c>
      <c r="O112" s="2" t="s">
        <v>1458</v>
      </c>
      <c r="P112" s="2" t="s">
        <v>670</v>
      </c>
      <c r="Q112" s="2" t="s">
        <v>1460</v>
      </c>
      <c r="R112" s="2" t="s">
        <v>1179</v>
      </c>
      <c r="S112" s="2" t="s">
        <v>1215</v>
      </c>
      <c r="T112" s="2" t="s">
        <v>1442</v>
      </c>
      <c r="U112" s="2" t="s">
        <v>1460</v>
      </c>
      <c r="V112" s="2" t="s">
        <v>1179</v>
      </c>
      <c r="W112" s="2" t="s">
        <v>670</v>
      </c>
      <c r="X112" s="2" t="s">
        <v>1204</v>
      </c>
      <c r="Y112" s="2" t="s">
        <v>1270</v>
      </c>
      <c r="Z112" s="2" t="s">
        <v>670</v>
      </c>
      <c r="AA112" s="2" t="s">
        <v>670</v>
      </c>
      <c r="AB112" s="2" t="s">
        <v>1579</v>
      </c>
      <c r="AC112" s="2" t="s">
        <v>1580</v>
      </c>
      <c r="AD112" s="2" t="s">
        <v>1446</v>
      </c>
      <c r="AE112" s="2" t="s">
        <v>1186</v>
      </c>
      <c r="AF112" s="2" t="s">
        <v>1447</v>
      </c>
      <c r="AG112" s="2" t="s">
        <v>1448</v>
      </c>
      <c r="AH112" s="2" t="s">
        <v>1189</v>
      </c>
      <c r="AI112" s="2" t="s">
        <v>1579</v>
      </c>
      <c r="AJ112" s="2" t="s">
        <v>1449</v>
      </c>
      <c r="AK112" s="2" t="s">
        <v>1192</v>
      </c>
      <c r="AL112" s="2" t="str">
        <f ca="1">IF(COUNTA(A112:AM112)=39,"OK","CHECK")</f>
        <v>OK</v>
      </c>
      <c r="AM112" s="2" t="s">
        <v>1450</v>
      </c>
    </row>
    <row r="113" spans="1:39" ht="36" customHeight="1">
      <c r="A113" s="3" t="s">
        <v>1581</v>
      </c>
      <c r="B113" s="3" t="s">
        <v>1582</v>
      </c>
      <c r="C113" s="3" t="s">
        <v>1435</v>
      </c>
      <c r="D113" s="3" t="s">
        <v>1583</v>
      </c>
      <c r="E113" s="3" t="s">
        <v>1294</v>
      </c>
      <c r="F113" s="3" t="s">
        <v>256</v>
      </c>
      <c r="G113" s="3" t="s">
        <v>1584</v>
      </c>
      <c r="H113" s="3" t="s">
        <v>1585</v>
      </c>
      <c r="I113" s="3" t="s">
        <v>1246</v>
      </c>
      <c r="J113" s="3" t="s">
        <v>1225</v>
      </c>
      <c r="K113" s="3" t="s">
        <v>1586</v>
      </c>
      <c r="L113" s="3" t="s">
        <v>670</v>
      </c>
      <c r="M113" s="3" t="s">
        <v>670</v>
      </c>
      <c r="N113" s="3" t="s">
        <v>670</v>
      </c>
      <c r="O113" s="3" t="s">
        <v>670</v>
      </c>
      <c r="P113" s="3" t="s">
        <v>670</v>
      </c>
      <c r="Q113" s="3" t="s">
        <v>670</v>
      </c>
      <c r="R113" s="3" t="s">
        <v>1179</v>
      </c>
      <c r="S113" s="3" t="s">
        <v>1215</v>
      </c>
      <c r="T113" s="3" t="s">
        <v>1587</v>
      </c>
      <c r="U113" s="3" t="s">
        <v>1588</v>
      </c>
      <c r="V113" s="3" t="s">
        <v>1179</v>
      </c>
      <c r="W113" s="3" t="s">
        <v>670</v>
      </c>
      <c r="X113" s="3" t="s">
        <v>670</v>
      </c>
      <c r="Y113" s="3" t="s">
        <v>1589</v>
      </c>
      <c r="Z113" s="3" t="s">
        <v>1590</v>
      </c>
      <c r="AA113" s="3" t="s">
        <v>1591</v>
      </c>
      <c r="AB113" s="3" t="s">
        <v>1592</v>
      </c>
      <c r="AC113" s="3" t="s">
        <v>1593</v>
      </c>
      <c r="AD113" s="3" t="s">
        <v>1446</v>
      </c>
      <c r="AE113" s="3" t="s">
        <v>1186</v>
      </c>
      <c r="AF113" s="3" t="s">
        <v>1447</v>
      </c>
      <c r="AG113" s="3" t="s">
        <v>1448</v>
      </c>
      <c r="AH113" s="3" t="s">
        <v>1189</v>
      </c>
      <c r="AI113" s="3" t="s">
        <v>1592</v>
      </c>
      <c r="AJ113" s="3" t="s">
        <v>1449</v>
      </c>
      <c r="AK113" s="3" t="s">
        <v>1192</v>
      </c>
      <c r="AL113" s="3" t="str">
        <f ca="1">IF(COUNTA(A113:AM113)=39,"OK","CHECK")</f>
        <v>OK</v>
      </c>
      <c r="AM113" s="3" t="s">
        <v>1450</v>
      </c>
    </row>
    <row r="114" spans="1:39" ht="36" customHeight="1">
      <c r="A114" s="2" t="s">
        <v>1594</v>
      </c>
      <c r="B114" s="2" t="s">
        <v>1595</v>
      </c>
      <c r="C114" s="2" t="s">
        <v>1435</v>
      </c>
      <c r="D114" s="2" t="s">
        <v>1583</v>
      </c>
      <c r="E114" s="2" t="s">
        <v>1294</v>
      </c>
      <c r="F114" s="2" t="s">
        <v>256</v>
      </c>
      <c r="G114" s="2" t="s">
        <v>1596</v>
      </c>
      <c r="H114" s="2" t="s">
        <v>1585</v>
      </c>
      <c r="I114" s="2" t="s">
        <v>1135</v>
      </c>
      <c r="J114" s="2" t="s">
        <v>1225</v>
      </c>
      <c r="K114" s="2" t="s">
        <v>1597</v>
      </c>
      <c r="L114" s="2" t="s">
        <v>670</v>
      </c>
      <c r="M114" s="2" t="s">
        <v>670</v>
      </c>
      <c r="N114" s="2" t="s">
        <v>670</v>
      </c>
      <c r="O114" s="2" t="s">
        <v>670</v>
      </c>
      <c r="P114" s="2" t="s">
        <v>670</v>
      </c>
      <c r="Q114" s="2" t="s">
        <v>670</v>
      </c>
      <c r="R114" s="2" t="s">
        <v>1179</v>
      </c>
      <c r="S114" s="2" t="s">
        <v>1215</v>
      </c>
      <c r="T114" s="2" t="s">
        <v>1475</v>
      </c>
      <c r="U114" s="2" t="s">
        <v>1598</v>
      </c>
      <c r="V114" s="2" t="s">
        <v>1179</v>
      </c>
      <c r="W114" s="2" t="s">
        <v>670</v>
      </c>
      <c r="X114" s="2" t="s">
        <v>670</v>
      </c>
      <c r="Y114" s="2" t="s">
        <v>1589</v>
      </c>
      <c r="Z114" s="2" t="s">
        <v>1590</v>
      </c>
      <c r="AA114" s="2" t="s">
        <v>1591</v>
      </c>
      <c r="AB114" s="2" t="s">
        <v>1592</v>
      </c>
      <c r="AC114" s="2" t="s">
        <v>1593</v>
      </c>
      <c r="AD114" s="2" t="s">
        <v>1446</v>
      </c>
      <c r="AE114" s="2" t="s">
        <v>1186</v>
      </c>
      <c r="AF114" s="2" t="s">
        <v>1447</v>
      </c>
      <c r="AG114" s="2" t="s">
        <v>1448</v>
      </c>
      <c r="AH114" s="2" t="s">
        <v>1189</v>
      </c>
      <c r="AI114" s="2" t="s">
        <v>1592</v>
      </c>
      <c r="AJ114" s="2" t="s">
        <v>1449</v>
      </c>
      <c r="AK114" s="2" t="s">
        <v>1192</v>
      </c>
      <c r="AL114" s="2" t="str">
        <f ca="1">IF(COUNTA(A114:AM114)=39,"OK","CHECK")</f>
        <v>OK</v>
      </c>
      <c r="AM114" s="2" t="s">
        <v>1450</v>
      </c>
    </row>
    <row r="115" spans="1:39" ht="36" customHeight="1">
      <c r="A115" s="3" t="s">
        <v>1599</v>
      </c>
      <c r="B115" s="3" t="s">
        <v>1600</v>
      </c>
      <c r="C115" s="3" t="s">
        <v>1435</v>
      </c>
      <c r="D115" s="3" t="s">
        <v>1583</v>
      </c>
      <c r="E115" s="3" t="s">
        <v>1294</v>
      </c>
      <c r="F115" s="3" t="s">
        <v>256</v>
      </c>
      <c r="G115" s="3" t="s">
        <v>1601</v>
      </c>
      <c r="H115" s="3" t="s">
        <v>1602</v>
      </c>
      <c r="I115" s="3" t="s">
        <v>1246</v>
      </c>
      <c r="J115" s="3" t="s">
        <v>1225</v>
      </c>
      <c r="K115" s="3" t="s">
        <v>1603</v>
      </c>
      <c r="L115" s="3" t="s">
        <v>670</v>
      </c>
      <c r="M115" s="3" t="s">
        <v>670</v>
      </c>
      <c r="N115" s="3" t="s">
        <v>670</v>
      </c>
      <c r="O115" s="3" t="s">
        <v>670</v>
      </c>
      <c r="P115" s="3" t="s">
        <v>670</v>
      </c>
      <c r="Q115" s="3" t="s">
        <v>670</v>
      </c>
      <c r="R115" s="3" t="s">
        <v>1179</v>
      </c>
      <c r="S115" s="3" t="s">
        <v>1215</v>
      </c>
      <c r="T115" s="3" t="s">
        <v>1475</v>
      </c>
      <c r="U115" s="3" t="s">
        <v>1604</v>
      </c>
      <c r="V115" s="3" t="s">
        <v>1179</v>
      </c>
      <c r="W115" s="3" t="s">
        <v>670</v>
      </c>
      <c r="X115" s="3" t="s">
        <v>670</v>
      </c>
      <c r="Y115" s="3" t="s">
        <v>1605</v>
      </c>
      <c r="Z115" s="3" t="s">
        <v>1590</v>
      </c>
      <c r="AA115" s="3" t="s">
        <v>1591</v>
      </c>
      <c r="AB115" s="3" t="s">
        <v>1592</v>
      </c>
      <c r="AC115" s="3" t="s">
        <v>1593</v>
      </c>
      <c r="AD115" s="3" t="s">
        <v>1446</v>
      </c>
      <c r="AE115" s="3" t="s">
        <v>1186</v>
      </c>
      <c r="AF115" s="3" t="s">
        <v>1447</v>
      </c>
      <c r="AG115" s="3" t="s">
        <v>1448</v>
      </c>
      <c r="AH115" s="3" t="s">
        <v>1189</v>
      </c>
      <c r="AI115" s="3" t="s">
        <v>1592</v>
      </c>
      <c r="AJ115" s="3" t="s">
        <v>1449</v>
      </c>
      <c r="AK115" s="3" t="s">
        <v>1192</v>
      </c>
      <c r="AL115" s="3" t="str">
        <f ca="1">IF(COUNTA(A115:AM115)=39,"OK","CHECK")</f>
        <v>OK</v>
      </c>
      <c r="AM115" s="3" t="s">
        <v>1450</v>
      </c>
    </row>
  </sheetData>
  <mergeCells count="4">
    <mergeCell ref="A1:H1"/>
    <mergeCell ref="A2:H2"/>
    <mergeCell ref="A4:C4"/>
    <mergeCell ref="A65:AM6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86"/>
  <sheetViews>
    <sheetView showGridLines="0" zoomScaleNormal="100" workbookViewId="0">
      <pane ySplit="4" topLeftCell="A5" activePane="bottomLeft" state="frozen"/>
      <selection pane="bottomLeft"/>
    </sheetView>
  </sheetViews>
  <sheetFormatPr defaultColWidth="8.7109375" defaultRowHeight="15"/>
  <cols>
    <col min="1" max="1" width="30" customWidth="1"/>
    <col min="2" max="3" width="44" customWidth="1"/>
    <col min="4" max="8" width="24" customWidth="1"/>
    <col min="9" max="24" width="28" customWidth="1"/>
  </cols>
  <sheetData>
    <row r="1" spans="1:24" ht="27.75" customHeight="1">
      <c r="A1" s="12" t="s">
        <v>19</v>
      </c>
      <c r="B1" s="12"/>
      <c r="C1" s="12"/>
      <c r="D1" s="12"/>
      <c r="E1" s="12"/>
      <c r="F1" s="12"/>
      <c r="G1" s="12"/>
      <c r="H1" s="12"/>
    </row>
    <row r="2" spans="1:24" ht="33.75" customHeight="1">
      <c r="A2" s="13" t="s">
        <v>20</v>
      </c>
      <c r="B2" s="13"/>
      <c r="C2" s="13"/>
      <c r="D2" s="13"/>
      <c r="E2" s="13"/>
      <c r="F2" s="13"/>
      <c r="G2" s="13"/>
      <c r="H2" s="13"/>
    </row>
    <row r="4" spans="1:24" ht="22.5" customHeight="1">
      <c r="A4" s="11" t="s">
        <v>1606</v>
      </c>
      <c r="B4" s="11"/>
      <c r="C4" s="11"/>
    </row>
    <row r="5" spans="1:24" ht="36" customHeight="1">
      <c r="A5" s="4" t="s">
        <v>1607</v>
      </c>
    </row>
    <row r="6" spans="1:24" ht="36" customHeight="1">
      <c r="A6" s="3" t="s">
        <v>1608</v>
      </c>
    </row>
    <row r="7" spans="1:24" ht="36" customHeight="1">
      <c r="A7" s="2" t="s">
        <v>40</v>
      </c>
      <c r="B7" s="2" t="s">
        <v>232</v>
      </c>
      <c r="C7" s="2" t="s">
        <v>42</v>
      </c>
    </row>
    <row r="8" spans="1:24" ht="36" customHeight="1">
      <c r="A8" s="3" t="s">
        <v>183</v>
      </c>
      <c r="B8" s="3" t="s">
        <v>1609</v>
      </c>
      <c r="C8" s="3" t="s">
        <v>46</v>
      </c>
    </row>
    <row r="9" spans="1:24" ht="36" customHeight="1">
      <c r="A9" s="2" t="s">
        <v>1610</v>
      </c>
      <c r="B9" s="2" t="s">
        <v>1611</v>
      </c>
      <c r="C9" s="2" t="s">
        <v>46</v>
      </c>
    </row>
    <row r="10" spans="1:24" ht="36" customHeight="1">
      <c r="A10" s="3" t="s">
        <v>185</v>
      </c>
      <c r="B10" s="3" t="s">
        <v>1612</v>
      </c>
      <c r="C10" s="3" t="s">
        <v>46</v>
      </c>
    </row>
    <row r="11" spans="1:24" ht="36" customHeight="1">
      <c r="A11" s="2" t="s">
        <v>1613</v>
      </c>
      <c r="B11" s="2" t="s">
        <v>1614</v>
      </c>
      <c r="C11" s="2" t="s">
        <v>46</v>
      </c>
    </row>
    <row r="12" spans="1:24" ht="36" customHeight="1">
      <c r="A12" s="3" t="s">
        <v>1615</v>
      </c>
      <c r="B12" s="3" t="s">
        <v>1616</v>
      </c>
      <c r="C12" s="3" t="s">
        <v>46</v>
      </c>
    </row>
    <row r="13" spans="1:24" ht="36" customHeight="1">
      <c r="A13" s="2" t="s">
        <v>1617</v>
      </c>
      <c r="B13" s="2" t="s">
        <v>1618</v>
      </c>
      <c r="C13" s="2" t="s">
        <v>1619</v>
      </c>
    </row>
    <row r="15" spans="1:24" ht="22.5" customHeight="1">
      <c r="A15" s="11" t="s">
        <v>1620</v>
      </c>
      <c r="B15" s="11"/>
      <c r="C15" s="11"/>
      <c r="D15" s="11"/>
      <c r="E15" s="11"/>
      <c r="F15" s="11"/>
      <c r="G15" s="11"/>
      <c r="H15" s="11"/>
      <c r="I15" s="11"/>
      <c r="J15" s="11"/>
      <c r="K15" s="11"/>
      <c r="L15" s="11"/>
      <c r="M15" s="11"/>
      <c r="N15" s="11"/>
      <c r="O15" s="11"/>
      <c r="P15" s="11"/>
      <c r="Q15" s="11"/>
      <c r="R15" s="11"/>
      <c r="S15" s="11"/>
      <c r="T15" s="11"/>
      <c r="U15" s="11"/>
      <c r="V15" s="11"/>
      <c r="W15" s="11"/>
      <c r="X15" s="11"/>
    </row>
    <row r="16" spans="1:24" ht="36" customHeight="1">
      <c r="A16" s="4" t="s">
        <v>1621</v>
      </c>
    </row>
    <row r="17" spans="1:24" ht="36" customHeight="1">
      <c r="A17" s="3" t="s">
        <v>1622</v>
      </c>
    </row>
    <row r="18" spans="1:24" ht="36" customHeight="1">
      <c r="A18" s="2" t="s">
        <v>1623</v>
      </c>
      <c r="B18" s="2" t="s">
        <v>1624</v>
      </c>
      <c r="C18" s="2" t="s">
        <v>748</v>
      </c>
      <c r="D18" s="2" t="s">
        <v>1625</v>
      </c>
      <c r="E18" s="2" t="s">
        <v>1626</v>
      </c>
      <c r="F18" s="2" t="s">
        <v>1627</v>
      </c>
      <c r="G18" s="2" t="s">
        <v>1628</v>
      </c>
      <c r="H18" s="2" t="s">
        <v>1629</v>
      </c>
      <c r="I18" s="2" t="s">
        <v>1630</v>
      </c>
      <c r="J18" s="2" t="s">
        <v>1631</v>
      </c>
      <c r="K18" s="2" t="s">
        <v>582</v>
      </c>
      <c r="L18" s="2" t="s">
        <v>1632</v>
      </c>
      <c r="M18" s="2" t="s">
        <v>1162</v>
      </c>
      <c r="N18" s="2" t="s">
        <v>1163</v>
      </c>
      <c r="O18" s="2" t="s">
        <v>1633</v>
      </c>
      <c r="P18" s="2" t="s">
        <v>1634</v>
      </c>
      <c r="Q18" s="2" t="s">
        <v>1635</v>
      </c>
      <c r="R18" s="2" t="s">
        <v>1636</v>
      </c>
      <c r="S18" s="2" t="s">
        <v>1637</v>
      </c>
      <c r="T18" s="2" t="s">
        <v>1638</v>
      </c>
      <c r="U18" s="2" t="s">
        <v>42</v>
      </c>
      <c r="V18" s="2" t="s">
        <v>1167</v>
      </c>
      <c r="W18" s="2" t="s">
        <v>1168</v>
      </c>
      <c r="X18" s="2" t="s">
        <v>204</v>
      </c>
    </row>
    <row r="19" spans="1:24" ht="36" customHeight="1">
      <c r="A19" s="3" t="s">
        <v>1639</v>
      </c>
      <c r="B19" s="3" t="s">
        <v>1640</v>
      </c>
      <c r="C19" s="3" t="s">
        <v>1641</v>
      </c>
      <c r="D19" s="3" t="s">
        <v>1642</v>
      </c>
      <c r="E19" s="3" t="s">
        <v>1129</v>
      </c>
      <c r="F19" s="3" t="s">
        <v>670</v>
      </c>
      <c r="G19" s="3" t="s">
        <v>1643</v>
      </c>
      <c r="H19" s="3" t="s">
        <v>1644</v>
      </c>
      <c r="I19" s="3" t="s">
        <v>1645</v>
      </c>
      <c r="J19" s="3" t="s">
        <v>1646</v>
      </c>
      <c r="K19" s="3" t="s">
        <v>1647</v>
      </c>
      <c r="L19" s="3" t="s">
        <v>1648</v>
      </c>
      <c r="M19" s="3" t="s">
        <v>1649</v>
      </c>
      <c r="N19" s="3" t="s">
        <v>1650</v>
      </c>
      <c r="O19" s="3" t="s">
        <v>1651</v>
      </c>
      <c r="P19" s="3" t="s">
        <v>670</v>
      </c>
      <c r="Q19" s="3" t="s">
        <v>1652</v>
      </c>
      <c r="R19" s="3" t="s">
        <v>1653</v>
      </c>
      <c r="S19" s="3" t="s">
        <v>670</v>
      </c>
      <c r="T19" s="3" t="s">
        <v>1654</v>
      </c>
      <c r="U19" s="3" t="s">
        <v>1449</v>
      </c>
      <c r="V19" s="3" t="s">
        <v>1192</v>
      </c>
      <c r="W19" s="3" t="str">
        <f ca="1">IF(COUNTA(A19:X19)=24,"OK","CHECK")</f>
        <v>OK</v>
      </c>
      <c r="X19" s="3" t="s">
        <v>1655</v>
      </c>
    </row>
    <row r="20" spans="1:24" ht="36" customHeight="1">
      <c r="A20" s="2" t="s">
        <v>1656</v>
      </c>
      <c r="B20" s="2" t="s">
        <v>1657</v>
      </c>
      <c r="C20" s="2" t="s">
        <v>1641</v>
      </c>
      <c r="D20" s="2" t="s">
        <v>1642</v>
      </c>
      <c r="E20" s="2" t="s">
        <v>1129</v>
      </c>
      <c r="F20" s="2" t="s">
        <v>670</v>
      </c>
      <c r="G20" s="2" t="s">
        <v>1643</v>
      </c>
      <c r="H20" s="2" t="s">
        <v>1658</v>
      </c>
      <c r="I20" s="2" t="s">
        <v>1645</v>
      </c>
      <c r="J20" s="2" t="s">
        <v>1659</v>
      </c>
      <c r="K20" s="2" t="s">
        <v>1647</v>
      </c>
      <c r="L20" s="2" t="s">
        <v>1648</v>
      </c>
      <c r="M20" s="2" t="s">
        <v>1649</v>
      </c>
      <c r="N20" s="2" t="s">
        <v>1650</v>
      </c>
      <c r="O20" s="2" t="s">
        <v>1651</v>
      </c>
      <c r="P20" s="2" t="s">
        <v>670</v>
      </c>
      <c r="Q20" s="2" t="s">
        <v>1660</v>
      </c>
      <c r="R20" s="2" t="s">
        <v>1653</v>
      </c>
      <c r="S20" s="2" t="s">
        <v>670</v>
      </c>
      <c r="T20" s="2" t="s">
        <v>1654</v>
      </c>
      <c r="U20" s="2" t="s">
        <v>1449</v>
      </c>
      <c r="V20" s="2" t="s">
        <v>1192</v>
      </c>
      <c r="W20" s="2" t="str">
        <f ca="1">IF(COUNTA(A20:X20)=24,"OK","CHECK")</f>
        <v>OK</v>
      </c>
      <c r="X20" s="2" t="s">
        <v>1655</v>
      </c>
    </row>
    <row r="21" spans="1:24" ht="36" customHeight="1">
      <c r="A21" s="3" t="s">
        <v>1661</v>
      </c>
      <c r="B21" s="3" t="s">
        <v>1662</v>
      </c>
      <c r="C21" s="3" t="s">
        <v>1641</v>
      </c>
      <c r="D21" s="3" t="s">
        <v>1642</v>
      </c>
      <c r="E21" s="3" t="s">
        <v>1129</v>
      </c>
      <c r="F21" s="3" t="s">
        <v>670</v>
      </c>
      <c r="G21" s="3" t="s">
        <v>1643</v>
      </c>
      <c r="H21" s="3" t="s">
        <v>1663</v>
      </c>
      <c r="I21" s="3" t="s">
        <v>1645</v>
      </c>
      <c r="J21" s="3" t="s">
        <v>1659</v>
      </c>
      <c r="K21" s="3" t="s">
        <v>1647</v>
      </c>
      <c r="L21" s="3" t="s">
        <v>1648</v>
      </c>
      <c r="M21" s="3" t="s">
        <v>1649</v>
      </c>
      <c r="N21" s="3" t="s">
        <v>1650</v>
      </c>
      <c r="O21" s="3" t="s">
        <v>1651</v>
      </c>
      <c r="P21" s="3" t="s">
        <v>670</v>
      </c>
      <c r="Q21" s="3" t="s">
        <v>670</v>
      </c>
      <c r="R21" s="3" t="s">
        <v>1653</v>
      </c>
      <c r="S21" s="3" t="s">
        <v>670</v>
      </c>
      <c r="T21" s="3" t="s">
        <v>1654</v>
      </c>
      <c r="U21" s="3" t="s">
        <v>1449</v>
      </c>
      <c r="V21" s="3" t="s">
        <v>1192</v>
      </c>
      <c r="W21" s="3" t="str">
        <f ca="1">IF(COUNTA(A21:X21)=24,"OK","CHECK")</f>
        <v>OK</v>
      </c>
      <c r="X21" s="3" t="s">
        <v>1655</v>
      </c>
    </row>
    <row r="22" spans="1:24" ht="36" customHeight="1">
      <c r="A22" s="2" t="s">
        <v>1664</v>
      </c>
      <c r="B22" s="2" t="s">
        <v>1665</v>
      </c>
      <c r="C22" s="2" t="s">
        <v>1641</v>
      </c>
      <c r="D22" s="2" t="s">
        <v>1642</v>
      </c>
      <c r="E22" s="2" t="s">
        <v>1129</v>
      </c>
      <c r="F22" s="2" t="s">
        <v>670</v>
      </c>
      <c r="G22" s="2" t="s">
        <v>1643</v>
      </c>
      <c r="H22" s="2" t="s">
        <v>1666</v>
      </c>
      <c r="I22" s="2" t="s">
        <v>1645</v>
      </c>
      <c r="J22" s="2" t="s">
        <v>1646</v>
      </c>
      <c r="K22" s="2" t="s">
        <v>1647</v>
      </c>
      <c r="L22" s="2" t="s">
        <v>1648</v>
      </c>
      <c r="M22" s="2" t="s">
        <v>1649</v>
      </c>
      <c r="N22" s="2" t="s">
        <v>1650</v>
      </c>
      <c r="O22" s="2" t="s">
        <v>1651</v>
      </c>
      <c r="P22" s="2" t="s">
        <v>670</v>
      </c>
      <c r="Q22" s="2" t="s">
        <v>1667</v>
      </c>
      <c r="R22" s="2" t="s">
        <v>1653</v>
      </c>
      <c r="S22" s="2" t="s">
        <v>670</v>
      </c>
      <c r="T22" s="2" t="s">
        <v>1654</v>
      </c>
      <c r="U22" s="2" t="s">
        <v>1449</v>
      </c>
      <c r="V22" s="2" t="s">
        <v>1192</v>
      </c>
      <c r="W22" s="2" t="str">
        <f ca="1">IF(COUNTA(A22:X22)=24,"OK","CHECK")</f>
        <v>OK</v>
      </c>
      <c r="X22" s="2" t="s">
        <v>1655</v>
      </c>
    </row>
    <row r="23" spans="1:24" ht="36" customHeight="1">
      <c r="A23" s="3" t="s">
        <v>1668</v>
      </c>
      <c r="B23" s="3" t="s">
        <v>1669</v>
      </c>
      <c r="C23" s="3" t="s">
        <v>1641</v>
      </c>
      <c r="D23" s="3" t="s">
        <v>1642</v>
      </c>
      <c r="E23" s="3" t="s">
        <v>1129</v>
      </c>
      <c r="F23" s="3" t="s">
        <v>670</v>
      </c>
      <c r="G23" s="3" t="s">
        <v>1643</v>
      </c>
      <c r="H23" s="3" t="s">
        <v>1670</v>
      </c>
      <c r="I23" s="3" t="s">
        <v>1645</v>
      </c>
      <c r="J23" s="3" t="s">
        <v>1671</v>
      </c>
      <c r="K23" s="3" t="s">
        <v>1647</v>
      </c>
      <c r="L23" s="3" t="s">
        <v>1648</v>
      </c>
      <c r="M23" s="3" t="s">
        <v>1649</v>
      </c>
      <c r="N23" s="3" t="s">
        <v>1650</v>
      </c>
      <c r="O23" s="3" t="s">
        <v>1651</v>
      </c>
      <c r="P23" s="3" t="s">
        <v>670</v>
      </c>
      <c r="Q23" s="3" t="s">
        <v>670</v>
      </c>
      <c r="R23" s="3" t="s">
        <v>1653</v>
      </c>
      <c r="S23" s="3" t="s">
        <v>670</v>
      </c>
      <c r="T23" s="3" t="s">
        <v>1654</v>
      </c>
      <c r="U23" s="3" t="s">
        <v>1449</v>
      </c>
      <c r="V23" s="3" t="s">
        <v>1192</v>
      </c>
      <c r="W23" s="3" t="str">
        <f ca="1">IF(COUNTA(A23:X23)=24,"OK","CHECK")</f>
        <v>OK</v>
      </c>
      <c r="X23" s="3" t="s">
        <v>1655</v>
      </c>
    </row>
    <row r="24" spans="1:24" ht="36" customHeight="1">
      <c r="A24" s="2" t="s">
        <v>1672</v>
      </c>
      <c r="B24" s="2" t="s">
        <v>1673</v>
      </c>
      <c r="C24" s="2" t="s">
        <v>1641</v>
      </c>
      <c r="D24" s="2" t="s">
        <v>1642</v>
      </c>
      <c r="E24" s="2" t="s">
        <v>1129</v>
      </c>
      <c r="F24" s="2" t="s">
        <v>670</v>
      </c>
      <c r="G24" s="2" t="s">
        <v>1643</v>
      </c>
      <c r="H24" s="2" t="s">
        <v>1674</v>
      </c>
      <c r="I24" s="2" t="s">
        <v>1645</v>
      </c>
      <c r="J24" s="2" t="s">
        <v>1646</v>
      </c>
      <c r="K24" s="2" t="s">
        <v>1647</v>
      </c>
      <c r="L24" s="2" t="s">
        <v>1648</v>
      </c>
      <c r="M24" s="2" t="s">
        <v>1649</v>
      </c>
      <c r="N24" s="2" t="s">
        <v>1650</v>
      </c>
      <c r="O24" s="2" t="s">
        <v>1651</v>
      </c>
      <c r="P24" s="2" t="s">
        <v>670</v>
      </c>
      <c r="Q24" s="2" t="s">
        <v>1675</v>
      </c>
      <c r="R24" s="2" t="s">
        <v>1653</v>
      </c>
      <c r="S24" s="2" t="s">
        <v>670</v>
      </c>
      <c r="T24" s="2" t="s">
        <v>1654</v>
      </c>
      <c r="U24" s="2" t="s">
        <v>1449</v>
      </c>
      <c r="V24" s="2" t="s">
        <v>1192</v>
      </c>
      <c r="W24" s="2" t="str">
        <f ca="1">IF(COUNTA(A24:X24)=24,"OK","CHECK")</f>
        <v>OK</v>
      </c>
      <c r="X24" s="2" t="s">
        <v>1655</v>
      </c>
    </row>
    <row r="25" spans="1:24" ht="36" customHeight="1">
      <c r="A25" s="3" t="s">
        <v>1676</v>
      </c>
      <c r="B25" s="3" t="s">
        <v>1677</v>
      </c>
      <c r="C25" s="3" t="s">
        <v>1641</v>
      </c>
      <c r="D25" s="3" t="s">
        <v>1642</v>
      </c>
      <c r="E25" s="3" t="s">
        <v>1129</v>
      </c>
      <c r="F25" s="3" t="s">
        <v>670</v>
      </c>
      <c r="G25" s="3" t="s">
        <v>1643</v>
      </c>
      <c r="H25" s="3" t="s">
        <v>1678</v>
      </c>
      <c r="I25" s="3" t="s">
        <v>1645</v>
      </c>
      <c r="J25" s="3" t="s">
        <v>1659</v>
      </c>
      <c r="K25" s="3" t="s">
        <v>1647</v>
      </c>
      <c r="L25" s="3" t="s">
        <v>1648</v>
      </c>
      <c r="M25" s="3" t="s">
        <v>1649</v>
      </c>
      <c r="N25" s="3" t="s">
        <v>1650</v>
      </c>
      <c r="O25" s="3" t="s">
        <v>1651</v>
      </c>
      <c r="P25" s="3" t="s">
        <v>670</v>
      </c>
      <c r="Q25" s="3" t="s">
        <v>670</v>
      </c>
      <c r="R25" s="3" t="s">
        <v>1653</v>
      </c>
      <c r="S25" s="3" t="s">
        <v>670</v>
      </c>
      <c r="T25" s="3" t="s">
        <v>1654</v>
      </c>
      <c r="U25" s="3" t="s">
        <v>1449</v>
      </c>
      <c r="V25" s="3" t="s">
        <v>1192</v>
      </c>
      <c r="W25" s="3" t="str">
        <f ca="1">IF(COUNTA(A25:X25)=24,"OK","CHECK")</f>
        <v>OK</v>
      </c>
      <c r="X25" s="3" t="s">
        <v>1655</v>
      </c>
    </row>
    <row r="26" spans="1:24" ht="36" customHeight="1">
      <c r="A26" s="2" t="s">
        <v>1679</v>
      </c>
      <c r="B26" s="2" t="s">
        <v>1680</v>
      </c>
      <c r="C26" s="2" t="s">
        <v>1641</v>
      </c>
      <c r="D26" s="2" t="s">
        <v>1642</v>
      </c>
      <c r="E26" s="2" t="s">
        <v>1129</v>
      </c>
      <c r="F26" s="2" t="s">
        <v>670</v>
      </c>
      <c r="G26" s="2" t="s">
        <v>1643</v>
      </c>
      <c r="H26" s="2" t="s">
        <v>1681</v>
      </c>
      <c r="I26" s="2" t="s">
        <v>1645</v>
      </c>
      <c r="J26" s="2" t="s">
        <v>1646</v>
      </c>
      <c r="K26" s="2" t="s">
        <v>1647</v>
      </c>
      <c r="L26" s="2" t="s">
        <v>1648</v>
      </c>
      <c r="M26" s="2" t="s">
        <v>1649</v>
      </c>
      <c r="N26" s="2" t="s">
        <v>1650</v>
      </c>
      <c r="O26" s="2" t="s">
        <v>1651</v>
      </c>
      <c r="P26" s="2" t="s">
        <v>670</v>
      </c>
      <c r="Q26" s="2" t="s">
        <v>670</v>
      </c>
      <c r="R26" s="2" t="s">
        <v>1653</v>
      </c>
      <c r="S26" s="2" t="s">
        <v>670</v>
      </c>
      <c r="T26" s="2" t="s">
        <v>1654</v>
      </c>
      <c r="U26" s="2" t="s">
        <v>1449</v>
      </c>
      <c r="V26" s="2" t="s">
        <v>1192</v>
      </c>
      <c r="W26" s="2" t="str">
        <f ca="1">IF(COUNTA(A26:X26)=24,"OK","CHECK")</f>
        <v>OK</v>
      </c>
      <c r="X26" s="2" t="s">
        <v>1655</v>
      </c>
    </row>
    <row r="27" spans="1:24" ht="36" customHeight="1">
      <c r="A27" s="3" t="s">
        <v>1682</v>
      </c>
      <c r="B27" s="3" t="s">
        <v>1683</v>
      </c>
      <c r="C27" s="3" t="s">
        <v>1641</v>
      </c>
      <c r="D27" s="3" t="s">
        <v>1642</v>
      </c>
      <c r="E27" s="3" t="s">
        <v>1129</v>
      </c>
      <c r="F27" s="3" t="s">
        <v>670</v>
      </c>
      <c r="G27" s="3" t="s">
        <v>1643</v>
      </c>
      <c r="H27" s="3" t="s">
        <v>1684</v>
      </c>
      <c r="I27" s="3" t="s">
        <v>1645</v>
      </c>
      <c r="J27" s="3" t="s">
        <v>1671</v>
      </c>
      <c r="K27" s="3" t="s">
        <v>1647</v>
      </c>
      <c r="L27" s="3" t="s">
        <v>1648</v>
      </c>
      <c r="M27" s="3" t="s">
        <v>1649</v>
      </c>
      <c r="N27" s="3" t="s">
        <v>1650</v>
      </c>
      <c r="O27" s="3" t="s">
        <v>1651</v>
      </c>
      <c r="P27" s="3" t="s">
        <v>670</v>
      </c>
      <c r="Q27" s="3" t="s">
        <v>670</v>
      </c>
      <c r="R27" s="3" t="s">
        <v>1653</v>
      </c>
      <c r="S27" s="3" t="s">
        <v>670</v>
      </c>
      <c r="T27" s="3" t="s">
        <v>1654</v>
      </c>
      <c r="U27" s="3" t="s">
        <v>1449</v>
      </c>
      <c r="V27" s="3" t="s">
        <v>1192</v>
      </c>
      <c r="W27" s="3" t="str">
        <f ca="1">IF(COUNTA(A27:X27)=24,"OK","CHECK")</f>
        <v>OK</v>
      </c>
      <c r="X27" s="3" t="s">
        <v>1655</v>
      </c>
    </row>
    <row r="28" spans="1:24" ht="36" customHeight="1">
      <c r="A28" s="2" t="s">
        <v>1685</v>
      </c>
      <c r="B28" s="2" t="s">
        <v>1686</v>
      </c>
      <c r="C28" s="2" t="s">
        <v>1641</v>
      </c>
      <c r="D28" s="2" t="s">
        <v>1642</v>
      </c>
      <c r="E28" s="2" t="s">
        <v>1129</v>
      </c>
      <c r="F28" s="2" t="s">
        <v>670</v>
      </c>
      <c r="G28" s="2" t="s">
        <v>1643</v>
      </c>
      <c r="H28" s="2" t="s">
        <v>1687</v>
      </c>
      <c r="I28" s="2" t="s">
        <v>1645</v>
      </c>
      <c r="J28" s="2" t="s">
        <v>1646</v>
      </c>
      <c r="K28" s="2" t="s">
        <v>1647</v>
      </c>
      <c r="L28" s="2" t="s">
        <v>1688</v>
      </c>
      <c r="M28" s="2" t="s">
        <v>1649</v>
      </c>
      <c r="N28" s="2" t="s">
        <v>1650</v>
      </c>
      <c r="O28" s="2" t="s">
        <v>1651</v>
      </c>
      <c r="P28" s="2" t="s">
        <v>670</v>
      </c>
      <c r="Q28" s="2" t="s">
        <v>670</v>
      </c>
      <c r="R28" s="2" t="s">
        <v>1653</v>
      </c>
      <c r="S28" s="2" t="s">
        <v>670</v>
      </c>
      <c r="T28" s="2" t="s">
        <v>1654</v>
      </c>
      <c r="U28" s="2" t="s">
        <v>1449</v>
      </c>
      <c r="V28" s="2" t="s">
        <v>1192</v>
      </c>
      <c r="W28" s="2" t="str">
        <f ca="1">IF(COUNTA(A28:X28)=24,"OK","CHECK")</f>
        <v>OK</v>
      </c>
      <c r="X28" s="2" t="s">
        <v>1655</v>
      </c>
    </row>
    <row r="29" spans="1:24" ht="36" customHeight="1">
      <c r="A29" s="3" t="s">
        <v>1689</v>
      </c>
      <c r="B29" s="3" t="s">
        <v>1690</v>
      </c>
      <c r="C29" s="3" t="s">
        <v>1641</v>
      </c>
      <c r="D29" s="3" t="s">
        <v>1642</v>
      </c>
      <c r="E29" s="3" t="s">
        <v>1129</v>
      </c>
      <c r="F29" s="3" t="s">
        <v>670</v>
      </c>
      <c r="G29" s="3" t="s">
        <v>1643</v>
      </c>
      <c r="H29" s="3" t="s">
        <v>1691</v>
      </c>
      <c r="I29" s="3" t="s">
        <v>1645</v>
      </c>
      <c r="J29" s="3" t="s">
        <v>1671</v>
      </c>
      <c r="K29" s="3" t="s">
        <v>1647</v>
      </c>
      <c r="L29" s="3" t="s">
        <v>1688</v>
      </c>
      <c r="M29" s="3" t="s">
        <v>1649</v>
      </c>
      <c r="N29" s="3" t="s">
        <v>1650</v>
      </c>
      <c r="O29" s="3" t="s">
        <v>1651</v>
      </c>
      <c r="P29" s="3" t="s">
        <v>670</v>
      </c>
      <c r="Q29" s="3" t="s">
        <v>1692</v>
      </c>
      <c r="R29" s="3" t="s">
        <v>1653</v>
      </c>
      <c r="S29" s="3" t="s">
        <v>670</v>
      </c>
      <c r="T29" s="3" t="s">
        <v>1654</v>
      </c>
      <c r="U29" s="3" t="s">
        <v>1449</v>
      </c>
      <c r="V29" s="3" t="s">
        <v>1192</v>
      </c>
      <c r="W29" s="3" t="str">
        <f ca="1">IF(COUNTA(A29:X29)=24,"OK","CHECK")</f>
        <v>OK</v>
      </c>
      <c r="X29" s="3" t="s">
        <v>1655</v>
      </c>
    </row>
    <row r="30" spans="1:24" ht="36" customHeight="1">
      <c r="A30" s="2" t="s">
        <v>1693</v>
      </c>
      <c r="B30" s="2" t="s">
        <v>1694</v>
      </c>
      <c r="C30" s="2" t="s">
        <v>1695</v>
      </c>
      <c r="D30" s="2" t="s">
        <v>1642</v>
      </c>
      <c r="E30" s="2" t="s">
        <v>670</v>
      </c>
      <c r="F30" s="2" t="s">
        <v>670</v>
      </c>
      <c r="G30" s="2" t="s">
        <v>558</v>
      </c>
      <c r="H30" s="2" t="s">
        <v>1696</v>
      </c>
      <c r="I30" s="2" t="s">
        <v>1645</v>
      </c>
      <c r="J30" s="2" t="s">
        <v>1697</v>
      </c>
      <c r="K30" s="2" t="s">
        <v>1698</v>
      </c>
      <c r="L30" s="2" t="s">
        <v>1648</v>
      </c>
      <c r="M30" s="2" t="s">
        <v>1649</v>
      </c>
      <c r="N30" s="2" t="s">
        <v>1650</v>
      </c>
      <c r="O30" s="2" t="s">
        <v>1651</v>
      </c>
      <c r="P30" s="2" t="s">
        <v>670</v>
      </c>
      <c r="Q30" s="2" t="s">
        <v>1699</v>
      </c>
      <c r="R30" s="2" t="s">
        <v>1653</v>
      </c>
      <c r="S30" s="2" t="s">
        <v>670</v>
      </c>
      <c r="T30" s="2" t="s">
        <v>1654</v>
      </c>
      <c r="U30" s="2" t="s">
        <v>1449</v>
      </c>
      <c r="V30" s="2" t="s">
        <v>1192</v>
      </c>
      <c r="W30" s="2" t="str">
        <f ca="1">IF(COUNTA(A30:X30)=24,"OK","CHECK")</f>
        <v>OK</v>
      </c>
      <c r="X30" s="2" t="s">
        <v>1655</v>
      </c>
    </row>
    <row r="31" spans="1:24" ht="36" customHeight="1">
      <c r="A31" s="3" t="s">
        <v>1700</v>
      </c>
      <c r="B31" s="3" t="s">
        <v>1701</v>
      </c>
      <c r="C31" s="3" t="s">
        <v>1695</v>
      </c>
      <c r="D31" s="3" t="s">
        <v>1642</v>
      </c>
      <c r="E31" s="3" t="s">
        <v>670</v>
      </c>
      <c r="F31" s="3" t="s">
        <v>670</v>
      </c>
      <c r="G31" s="3" t="s">
        <v>558</v>
      </c>
      <c r="H31" s="3" t="s">
        <v>1702</v>
      </c>
      <c r="I31" s="3" t="s">
        <v>1645</v>
      </c>
      <c r="J31" s="3" t="s">
        <v>1697</v>
      </c>
      <c r="K31" s="3" t="s">
        <v>1698</v>
      </c>
      <c r="L31" s="3" t="s">
        <v>1648</v>
      </c>
      <c r="M31" s="3" t="s">
        <v>1649</v>
      </c>
      <c r="N31" s="3" t="s">
        <v>1650</v>
      </c>
      <c r="O31" s="3" t="s">
        <v>1651</v>
      </c>
      <c r="P31" s="3" t="s">
        <v>670</v>
      </c>
      <c r="Q31" s="3" t="s">
        <v>1699</v>
      </c>
      <c r="R31" s="3" t="s">
        <v>1653</v>
      </c>
      <c r="S31" s="3" t="s">
        <v>670</v>
      </c>
      <c r="T31" s="3" t="s">
        <v>1654</v>
      </c>
      <c r="U31" s="3" t="s">
        <v>1449</v>
      </c>
      <c r="V31" s="3" t="s">
        <v>1192</v>
      </c>
      <c r="W31" s="3" t="str">
        <f ca="1">IF(COUNTA(A31:X31)=24,"OK","CHECK")</f>
        <v>OK</v>
      </c>
      <c r="X31" s="3" t="s">
        <v>1655</v>
      </c>
    </row>
    <row r="32" spans="1:24" ht="36" customHeight="1">
      <c r="A32" s="2" t="s">
        <v>1703</v>
      </c>
      <c r="B32" s="2" t="s">
        <v>1704</v>
      </c>
      <c r="C32" s="2" t="s">
        <v>1695</v>
      </c>
      <c r="D32" s="2" t="s">
        <v>1642</v>
      </c>
      <c r="E32" s="2" t="s">
        <v>670</v>
      </c>
      <c r="F32" s="2" t="s">
        <v>670</v>
      </c>
      <c r="G32" s="2" t="s">
        <v>558</v>
      </c>
      <c r="H32" s="2" t="s">
        <v>1705</v>
      </c>
      <c r="I32" s="2" t="s">
        <v>1645</v>
      </c>
      <c r="J32" s="2" t="s">
        <v>1697</v>
      </c>
      <c r="K32" s="2" t="s">
        <v>1698</v>
      </c>
      <c r="L32" s="2" t="s">
        <v>1648</v>
      </c>
      <c r="M32" s="2" t="s">
        <v>1649</v>
      </c>
      <c r="N32" s="2" t="s">
        <v>1650</v>
      </c>
      <c r="O32" s="2" t="s">
        <v>1651</v>
      </c>
      <c r="P32" s="2" t="s">
        <v>670</v>
      </c>
      <c r="Q32" s="2" t="s">
        <v>1699</v>
      </c>
      <c r="R32" s="2" t="s">
        <v>1653</v>
      </c>
      <c r="S32" s="2" t="s">
        <v>670</v>
      </c>
      <c r="T32" s="2" t="s">
        <v>1654</v>
      </c>
      <c r="U32" s="2" t="s">
        <v>1449</v>
      </c>
      <c r="V32" s="2" t="s">
        <v>1192</v>
      </c>
      <c r="W32" s="2" t="str">
        <f ca="1">IF(COUNTA(A32:X32)=24,"OK","CHECK")</f>
        <v>OK</v>
      </c>
      <c r="X32" s="2" t="s">
        <v>1655</v>
      </c>
    </row>
    <row r="33" spans="1:24" ht="36" customHeight="1">
      <c r="A33" s="3" t="s">
        <v>1706</v>
      </c>
      <c r="B33" s="3" t="s">
        <v>1707</v>
      </c>
      <c r="C33" s="3" t="s">
        <v>1695</v>
      </c>
      <c r="D33" s="3" t="s">
        <v>1642</v>
      </c>
      <c r="E33" s="3" t="s">
        <v>670</v>
      </c>
      <c r="F33" s="3" t="s">
        <v>670</v>
      </c>
      <c r="G33" s="3" t="s">
        <v>558</v>
      </c>
      <c r="H33" s="3" t="s">
        <v>1708</v>
      </c>
      <c r="I33" s="3" t="s">
        <v>1645</v>
      </c>
      <c r="J33" s="3" t="s">
        <v>1697</v>
      </c>
      <c r="K33" s="3" t="s">
        <v>1698</v>
      </c>
      <c r="L33" s="3" t="s">
        <v>1648</v>
      </c>
      <c r="M33" s="3" t="s">
        <v>1649</v>
      </c>
      <c r="N33" s="3" t="s">
        <v>1650</v>
      </c>
      <c r="O33" s="3" t="s">
        <v>1651</v>
      </c>
      <c r="P33" s="3" t="s">
        <v>670</v>
      </c>
      <c r="Q33" s="3" t="s">
        <v>1699</v>
      </c>
      <c r="R33" s="3" t="s">
        <v>1653</v>
      </c>
      <c r="S33" s="3" t="s">
        <v>670</v>
      </c>
      <c r="T33" s="3" t="s">
        <v>1654</v>
      </c>
      <c r="U33" s="3" t="s">
        <v>1449</v>
      </c>
      <c r="V33" s="3" t="s">
        <v>1192</v>
      </c>
      <c r="W33" s="3" t="str">
        <f ca="1">IF(COUNTA(A33:X33)=24,"OK","CHECK")</f>
        <v>OK</v>
      </c>
      <c r="X33" s="3" t="s">
        <v>1655</v>
      </c>
    </row>
    <row r="34" spans="1:24" ht="36" customHeight="1">
      <c r="A34" s="2" t="s">
        <v>1709</v>
      </c>
      <c r="B34" s="2" t="s">
        <v>1710</v>
      </c>
      <c r="C34" s="2" t="s">
        <v>1695</v>
      </c>
      <c r="D34" s="2" t="s">
        <v>1642</v>
      </c>
      <c r="E34" s="2" t="s">
        <v>670</v>
      </c>
      <c r="F34" s="2" t="s">
        <v>670</v>
      </c>
      <c r="G34" s="2" t="s">
        <v>558</v>
      </c>
      <c r="H34" s="2" t="s">
        <v>1711</v>
      </c>
      <c r="I34" s="2" t="s">
        <v>1645</v>
      </c>
      <c r="J34" s="2" t="s">
        <v>1697</v>
      </c>
      <c r="K34" s="2" t="s">
        <v>1698</v>
      </c>
      <c r="L34" s="2" t="s">
        <v>1648</v>
      </c>
      <c r="M34" s="2" t="s">
        <v>1649</v>
      </c>
      <c r="N34" s="2" t="s">
        <v>1650</v>
      </c>
      <c r="O34" s="2" t="s">
        <v>1651</v>
      </c>
      <c r="P34" s="2" t="s">
        <v>670</v>
      </c>
      <c r="Q34" s="2" t="s">
        <v>1699</v>
      </c>
      <c r="R34" s="2" t="s">
        <v>1653</v>
      </c>
      <c r="S34" s="2" t="s">
        <v>670</v>
      </c>
      <c r="T34" s="2" t="s">
        <v>1654</v>
      </c>
      <c r="U34" s="2" t="s">
        <v>1449</v>
      </c>
      <c r="V34" s="2" t="s">
        <v>1192</v>
      </c>
      <c r="W34" s="2" t="str">
        <f ca="1">IF(COUNTA(A34:X34)=24,"OK","CHECK")</f>
        <v>OK</v>
      </c>
      <c r="X34" s="2" t="s">
        <v>1655</v>
      </c>
    </row>
    <row r="35" spans="1:24" ht="36" customHeight="1">
      <c r="A35" s="3" t="s">
        <v>1712</v>
      </c>
      <c r="B35" s="3" t="s">
        <v>1713</v>
      </c>
      <c r="C35" s="3" t="s">
        <v>1695</v>
      </c>
      <c r="D35" s="3" t="s">
        <v>1642</v>
      </c>
      <c r="E35" s="3" t="s">
        <v>670</v>
      </c>
      <c r="F35" s="3" t="s">
        <v>670</v>
      </c>
      <c r="G35" s="3" t="s">
        <v>558</v>
      </c>
      <c r="H35" s="3" t="s">
        <v>1714</v>
      </c>
      <c r="I35" s="3" t="s">
        <v>1645</v>
      </c>
      <c r="J35" s="3" t="s">
        <v>1697</v>
      </c>
      <c r="K35" s="3" t="s">
        <v>1698</v>
      </c>
      <c r="L35" s="3" t="s">
        <v>1648</v>
      </c>
      <c r="M35" s="3" t="s">
        <v>1649</v>
      </c>
      <c r="N35" s="3" t="s">
        <v>1650</v>
      </c>
      <c r="O35" s="3" t="s">
        <v>1651</v>
      </c>
      <c r="P35" s="3" t="s">
        <v>670</v>
      </c>
      <c r="Q35" s="3" t="s">
        <v>1699</v>
      </c>
      <c r="R35" s="3" t="s">
        <v>1653</v>
      </c>
      <c r="S35" s="3" t="s">
        <v>670</v>
      </c>
      <c r="T35" s="3" t="s">
        <v>1654</v>
      </c>
      <c r="U35" s="3" t="s">
        <v>1449</v>
      </c>
      <c r="V35" s="3" t="s">
        <v>1192</v>
      </c>
      <c r="W35" s="3" t="str">
        <f ca="1">IF(COUNTA(A35:X35)=24,"OK","CHECK")</f>
        <v>OK</v>
      </c>
      <c r="X35" s="3" t="s">
        <v>1655</v>
      </c>
    </row>
    <row r="36" spans="1:24" ht="36" customHeight="1">
      <c r="A36" s="2" t="s">
        <v>1715</v>
      </c>
      <c r="B36" s="2" t="s">
        <v>1716</v>
      </c>
      <c r="C36" s="2" t="s">
        <v>1695</v>
      </c>
      <c r="D36" s="2" t="s">
        <v>1642</v>
      </c>
      <c r="E36" s="2" t="s">
        <v>670</v>
      </c>
      <c r="F36" s="2" t="s">
        <v>670</v>
      </c>
      <c r="G36" s="2" t="s">
        <v>558</v>
      </c>
      <c r="H36" s="2" t="s">
        <v>1717</v>
      </c>
      <c r="I36" s="2" t="s">
        <v>1645</v>
      </c>
      <c r="J36" s="2" t="s">
        <v>1697</v>
      </c>
      <c r="K36" s="2" t="s">
        <v>1698</v>
      </c>
      <c r="L36" s="2" t="s">
        <v>1648</v>
      </c>
      <c r="M36" s="2" t="s">
        <v>1649</v>
      </c>
      <c r="N36" s="2" t="s">
        <v>1650</v>
      </c>
      <c r="O36" s="2" t="s">
        <v>1651</v>
      </c>
      <c r="P36" s="2" t="s">
        <v>670</v>
      </c>
      <c r="Q36" s="2" t="s">
        <v>1699</v>
      </c>
      <c r="R36" s="2" t="s">
        <v>1653</v>
      </c>
      <c r="S36" s="2" t="s">
        <v>670</v>
      </c>
      <c r="T36" s="2" t="s">
        <v>1654</v>
      </c>
      <c r="U36" s="2" t="s">
        <v>1449</v>
      </c>
      <c r="V36" s="2" t="s">
        <v>1192</v>
      </c>
      <c r="W36" s="2" t="str">
        <f ca="1">IF(COUNTA(A36:X36)=24,"OK","CHECK")</f>
        <v>OK</v>
      </c>
      <c r="X36" s="2" t="s">
        <v>1655</v>
      </c>
    </row>
    <row r="37" spans="1:24" ht="36" customHeight="1">
      <c r="A37" s="3" t="s">
        <v>1718</v>
      </c>
      <c r="B37" s="3" t="s">
        <v>995</v>
      </c>
      <c r="C37" s="3" t="s">
        <v>1719</v>
      </c>
      <c r="D37" s="3" t="s">
        <v>1642</v>
      </c>
      <c r="E37" s="3" t="s">
        <v>670</v>
      </c>
      <c r="F37" s="3" t="s">
        <v>670</v>
      </c>
      <c r="G37" s="3" t="s">
        <v>670</v>
      </c>
      <c r="H37" s="3" t="s">
        <v>1720</v>
      </c>
      <c r="I37" s="3" t="s">
        <v>1721</v>
      </c>
      <c r="J37" s="3" t="s">
        <v>1722</v>
      </c>
      <c r="K37" s="3" t="s">
        <v>1723</v>
      </c>
      <c r="L37" s="3" t="s">
        <v>1648</v>
      </c>
      <c r="M37" s="3" t="s">
        <v>1649</v>
      </c>
      <c r="N37" s="3" t="s">
        <v>1650</v>
      </c>
      <c r="O37" s="3" t="s">
        <v>1651</v>
      </c>
      <c r="P37" s="3" t="s">
        <v>670</v>
      </c>
      <c r="Q37" s="3" t="s">
        <v>1724</v>
      </c>
      <c r="R37" s="3" t="s">
        <v>1653</v>
      </c>
      <c r="S37" s="3" t="s">
        <v>670</v>
      </c>
      <c r="T37" s="3" t="s">
        <v>1654</v>
      </c>
      <c r="U37" s="3" t="s">
        <v>1449</v>
      </c>
      <c r="V37" s="3" t="s">
        <v>1192</v>
      </c>
      <c r="W37" s="3" t="str">
        <f ca="1">IF(COUNTA(A37:X37)=24,"OK","CHECK")</f>
        <v>OK</v>
      </c>
      <c r="X37" s="3" t="s">
        <v>1655</v>
      </c>
    </row>
    <row r="38" spans="1:24" ht="36" customHeight="1">
      <c r="A38" s="2" t="s">
        <v>1725</v>
      </c>
      <c r="B38" s="2" t="s">
        <v>1726</v>
      </c>
      <c r="C38" s="2" t="s">
        <v>1719</v>
      </c>
      <c r="D38" s="2" t="s">
        <v>1642</v>
      </c>
      <c r="E38" s="2" t="s">
        <v>670</v>
      </c>
      <c r="F38" s="2" t="s">
        <v>670</v>
      </c>
      <c r="G38" s="2" t="s">
        <v>670</v>
      </c>
      <c r="H38" s="2" t="s">
        <v>1727</v>
      </c>
      <c r="I38" s="2" t="s">
        <v>1721</v>
      </c>
      <c r="J38" s="2" t="s">
        <v>1728</v>
      </c>
      <c r="K38" s="2" t="s">
        <v>1723</v>
      </c>
      <c r="L38" s="2" t="s">
        <v>1648</v>
      </c>
      <c r="M38" s="2" t="s">
        <v>1649</v>
      </c>
      <c r="N38" s="2" t="s">
        <v>1650</v>
      </c>
      <c r="O38" s="2" t="s">
        <v>1651</v>
      </c>
      <c r="P38" s="2" t="s">
        <v>670</v>
      </c>
      <c r="Q38" s="2" t="s">
        <v>1729</v>
      </c>
      <c r="R38" s="2" t="s">
        <v>1653</v>
      </c>
      <c r="S38" s="2" t="s">
        <v>670</v>
      </c>
      <c r="T38" s="2" t="s">
        <v>1654</v>
      </c>
      <c r="U38" s="2" t="s">
        <v>1449</v>
      </c>
      <c r="V38" s="2" t="s">
        <v>1192</v>
      </c>
      <c r="W38" s="2" t="str">
        <f ca="1">IF(COUNTA(A38:X38)=24,"OK","CHECK")</f>
        <v>OK</v>
      </c>
      <c r="X38" s="2" t="s">
        <v>1655</v>
      </c>
    </row>
    <row r="39" spans="1:24" ht="36" customHeight="1">
      <c r="A39" s="3" t="s">
        <v>1730</v>
      </c>
      <c r="B39" s="3" t="s">
        <v>1731</v>
      </c>
      <c r="C39" s="3" t="s">
        <v>1732</v>
      </c>
      <c r="D39" s="3" t="s">
        <v>670</v>
      </c>
      <c r="E39" s="3" t="s">
        <v>670</v>
      </c>
      <c r="F39" s="3" t="s">
        <v>670</v>
      </c>
      <c r="G39" s="3" t="s">
        <v>1733</v>
      </c>
      <c r="H39" s="3" t="s">
        <v>1734</v>
      </c>
      <c r="I39" s="3" t="s">
        <v>1645</v>
      </c>
      <c r="J39" s="3" t="s">
        <v>1735</v>
      </c>
      <c r="K39" s="3" t="s">
        <v>1698</v>
      </c>
      <c r="L39" s="3" t="s">
        <v>1648</v>
      </c>
      <c r="M39" s="3" t="s">
        <v>1649</v>
      </c>
      <c r="N39" s="3" t="s">
        <v>1650</v>
      </c>
      <c r="O39" s="3" t="s">
        <v>1651</v>
      </c>
      <c r="P39" s="3" t="s">
        <v>670</v>
      </c>
      <c r="Q39" s="3" t="s">
        <v>1736</v>
      </c>
      <c r="R39" s="3" t="s">
        <v>1653</v>
      </c>
      <c r="S39" s="3" t="s">
        <v>1737</v>
      </c>
      <c r="T39" s="3" t="s">
        <v>1654</v>
      </c>
      <c r="U39" s="3" t="s">
        <v>1449</v>
      </c>
      <c r="V39" s="3" t="s">
        <v>1192</v>
      </c>
      <c r="W39" s="3" t="str">
        <f ca="1">IF(COUNTA(A39:X39)=24,"OK","CHECK")</f>
        <v>OK</v>
      </c>
      <c r="X39" s="3" t="s">
        <v>1655</v>
      </c>
    </row>
    <row r="40" spans="1:24" ht="36" customHeight="1">
      <c r="A40" s="2" t="s">
        <v>1738</v>
      </c>
      <c r="B40" s="2" t="s">
        <v>1739</v>
      </c>
      <c r="C40" s="2" t="s">
        <v>1732</v>
      </c>
      <c r="D40" s="2" t="s">
        <v>670</v>
      </c>
      <c r="E40" s="2" t="s">
        <v>670</v>
      </c>
      <c r="F40" s="2" t="s">
        <v>670</v>
      </c>
      <c r="G40" s="2" t="s">
        <v>1733</v>
      </c>
      <c r="H40" s="2" t="s">
        <v>1740</v>
      </c>
      <c r="I40" s="2" t="s">
        <v>1645</v>
      </c>
      <c r="J40" s="2" t="s">
        <v>1741</v>
      </c>
      <c r="K40" s="2" t="s">
        <v>1698</v>
      </c>
      <c r="L40" s="2" t="s">
        <v>1648</v>
      </c>
      <c r="M40" s="2" t="s">
        <v>1649</v>
      </c>
      <c r="N40" s="2" t="s">
        <v>1650</v>
      </c>
      <c r="O40" s="2" t="s">
        <v>1651</v>
      </c>
      <c r="P40" s="2" t="s">
        <v>670</v>
      </c>
      <c r="Q40" s="2" t="s">
        <v>1742</v>
      </c>
      <c r="R40" s="2" t="s">
        <v>1653</v>
      </c>
      <c r="S40" s="2" t="s">
        <v>1737</v>
      </c>
      <c r="T40" s="2" t="s">
        <v>1654</v>
      </c>
      <c r="U40" s="2" t="s">
        <v>1449</v>
      </c>
      <c r="V40" s="2" t="s">
        <v>1192</v>
      </c>
      <c r="W40" s="2" t="str">
        <f ca="1">IF(COUNTA(A40:X40)=24,"OK","CHECK")</f>
        <v>OK</v>
      </c>
      <c r="X40" s="2" t="s">
        <v>1655</v>
      </c>
    </row>
    <row r="41" spans="1:24" ht="36" customHeight="1">
      <c r="A41" s="3" t="s">
        <v>1743</v>
      </c>
      <c r="B41" s="3" t="s">
        <v>1744</v>
      </c>
      <c r="C41" s="3" t="s">
        <v>1745</v>
      </c>
      <c r="D41" s="3" t="s">
        <v>670</v>
      </c>
      <c r="E41" s="3" t="s">
        <v>670</v>
      </c>
      <c r="F41" s="3" t="s">
        <v>670</v>
      </c>
      <c r="G41" s="3" t="s">
        <v>1746</v>
      </c>
      <c r="H41" s="3" t="s">
        <v>1747</v>
      </c>
      <c r="I41" s="3" t="s">
        <v>1645</v>
      </c>
      <c r="J41" s="3" t="s">
        <v>1659</v>
      </c>
      <c r="K41" s="3" t="s">
        <v>1698</v>
      </c>
      <c r="L41" s="3" t="s">
        <v>1648</v>
      </c>
      <c r="M41" s="3" t="s">
        <v>1649</v>
      </c>
      <c r="N41" s="3" t="s">
        <v>1650</v>
      </c>
      <c r="O41" s="3" t="s">
        <v>1651</v>
      </c>
      <c r="P41" s="3" t="s">
        <v>670</v>
      </c>
      <c r="Q41" s="3" t="s">
        <v>1748</v>
      </c>
      <c r="R41" s="3" t="s">
        <v>1653</v>
      </c>
      <c r="S41" s="3" t="s">
        <v>670</v>
      </c>
      <c r="T41" s="3" t="s">
        <v>1654</v>
      </c>
      <c r="U41" s="3" t="s">
        <v>1449</v>
      </c>
      <c r="V41" s="3" t="s">
        <v>1192</v>
      </c>
      <c r="W41" s="3" t="str">
        <f ca="1">IF(COUNTA(A41:X41)=24,"OK","CHECK")</f>
        <v>OK</v>
      </c>
      <c r="X41" s="3" t="s">
        <v>1655</v>
      </c>
    </row>
    <row r="42" spans="1:24" ht="36" customHeight="1">
      <c r="A42" s="2" t="s">
        <v>1749</v>
      </c>
      <c r="B42" s="2" t="s">
        <v>1750</v>
      </c>
      <c r="C42" s="2" t="s">
        <v>1745</v>
      </c>
      <c r="D42" s="2" t="s">
        <v>670</v>
      </c>
      <c r="E42" s="2" t="s">
        <v>670</v>
      </c>
      <c r="F42" s="2" t="s">
        <v>670</v>
      </c>
      <c r="G42" s="2" t="s">
        <v>1746</v>
      </c>
      <c r="H42" s="2" t="s">
        <v>1751</v>
      </c>
      <c r="I42" s="2" t="s">
        <v>1645</v>
      </c>
      <c r="J42" s="2" t="s">
        <v>1659</v>
      </c>
      <c r="K42" s="2" t="s">
        <v>1698</v>
      </c>
      <c r="L42" s="2" t="s">
        <v>1648</v>
      </c>
      <c r="M42" s="2" t="s">
        <v>1649</v>
      </c>
      <c r="N42" s="2" t="s">
        <v>1650</v>
      </c>
      <c r="O42" s="2" t="s">
        <v>1651</v>
      </c>
      <c r="P42" s="2" t="s">
        <v>670</v>
      </c>
      <c r="Q42" s="2" t="s">
        <v>1748</v>
      </c>
      <c r="R42" s="2" t="s">
        <v>1653</v>
      </c>
      <c r="S42" s="2" t="s">
        <v>670</v>
      </c>
      <c r="T42" s="2" t="s">
        <v>1654</v>
      </c>
      <c r="U42" s="2" t="s">
        <v>1449</v>
      </c>
      <c r="V42" s="2" t="s">
        <v>1192</v>
      </c>
      <c r="W42" s="2" t="str">
        <f ca="1">IF(COUNTA(A42:X42)=24,"OK","CHECK")</f>
        <v>OK</v>
      </c>
      <c r="X42" s="2" t="s">
        <v>1655</v>
      </c>
    </row>
    <row r="43" spans="1:24" ht="36" customHeight="1">
      <c r="A43" s="3" t="s">
        <v>1752</v>
      </c>
      <c r="B43" s="3" t="s">
        <v>1753</v>
      </c>
      <c r="C43" s="3" t="s">
        <v>1745</v>
      </c>
      <c r="D43" s="3" t="s">
        <v>670</v>
      </c>
      <c r="E43" s="3" t="s">
        <v>670</v>
      </c>
      <c r="F43" s="3" t="s">
        <v>670</v>
      </c>
      <c r="G43" s="3" t="s">
        <v>1746</v>
      </c>
      <c r="H43" s="3" t="s">
        <v>1754</v>
      </c>
      <c r="I43" s="3" t="s">
        <v>1645</v>
      </c>
      <c r="J43" s="3" t="s">
        <v>1659</v>
      </c>
      <c r="K43" s="3" t="s">
        <v>1698</v>
      </c>
      <c r="L43" s="3" t="s">
        <v>1648</v>
      </c>
      <c r="M43" s="3" t="s">
        <v>1649</v>
      </c>
      <c r="N43" s="3" t="s">
        <v>1650</v>
      </c>
      <c r="O43" s="3" t="s">
        <v>1651</v>
      </c>
      <c r="P43" s="3" t="s">
        <v>670</v>
      </c>
      <c r="Q43" s="3" t="s">
        <v>1748</v>
      </c>
      <c r="R43" s="3" t="s">
        <v>1653</v>
      </c>
      <c r="S43" s="3" t="s">
        <v>670</v>
      </c>
      <c r="T43" s="3" t="s">
        <v>1654</v>
      </c>
      <c r="U43" s="3" t="s">
        <v>1449</v>
      </c>
      <c r="V43" s="3" t="s">
        <v>1192</v>
      </c>
      <c r="W43" s="3" t="str">
        <f ca="1">IF(COUNTA(A43:X43)=24,"OK","CHECK")</f>
        <v>OK</v>
      </c>
      <c r="X43" s="3" t="s">
        <v>1655</v>
      </c>
    </row>
    <row r="44" spans="1:24" ht="36" customHeight="1">
      <c r="A44" s="2" t="s">
        <v>1755</v>
      </c>
      <c r="B44" s="2" t="s">
        <v>1756</v>
      </c>
      <c r="C44" s="2" t="s">
        <v>1745</v>
      </c>
      <c r="D44" s="2" t="s">
        <v>670</v>
      </c>
      <c r="E44" s="2" t="s">
        <v>670</v>
      </c>
      <c r="F44" s="2" t="s">
        <v>670</v>
      </c>
      <c r="G44" s="2" t="s">
        <v>1746</v>
      </c>
      <c r="H44" s="2" t="s">
        <v>1757</v>
      </c>
      <c r="I44" s="2" t="s">
        <v>1645</v>
      </c>
      <c r="J44" s="2" t="s">
        <v>1659</v>
      </c>
      <c r="K44" s="2" t="s">
        <v>1698</v>
      </c>
      <c r="L44" s="2" t="s">
        <v>1648</v>
      </c>
      <c r="M44" s="2" t="s">
        <v>1649</v>
      </c>
      <c r="N44" s="2" t="s">
        <v>1650</v>
      </c>
      <c r="O44" s="2" t="s">
        <v>1651</v>
      </c>
      <c r="P44" s="2" t="s">
        <v>670</v>
      </c>
      <c r="Q44" s="2" t="s">
        <v>1748</v>
      </c>
      <c r="R44" s="2" t="s">
        <v>1653</v>
      </c>
      <c r="S44" s="2" t="s">
        <v>670</v>
      </c>
      <c r="T44" s="2" t="s">
        <v>1654</v>
      </c>
      <c r="U44" s="2" t="s">
        <v>1449</v>
      </c>
      <c r="V44" s="2" t="s">
        <v>1192</v>
      </c>
      <c r="W44" s="2" t="str">
        <f ca="1">IF(COUNTA(A44:X44)=24,"OK","CHECK")</f>
        <v>OK</v>
      </c>
      <c r="X44" s="2" t="s">
        <v>1655</v>
      </c>
    </row>
    <row r="45" spans="1:24" ht="36" customHeight="1">
      <c r="A45" s="3" t="s">
        <v>1758</v>
      </c>
      <c r="B45" s="3" t="s">
        <v>1759</v>
      </c>
      <c r="C45" s="3" t="s">
        <v>1745</v>
      </c>
      <c r="D45" s="3" t="s">
        <v>670</v>
      </c>
      <c r="E45" s="3" t="s">
        <v>670</v>
      </c>
      <c r="F45" s="3" t="s">
        <v>670</v>
      </c>
      <c r="G45" s="3" t="s">
        <v>1746</v>
      </c>
      <c r="H45" s="3" t="s">
        <v>1760</v>
      </c>
      <c r="I45" s="3" t="s">
        <v>1645</v>
      </c>
      <c r="J45" s="3" t="s">
        <v>1659</v>
      </c>
      <c r="K45" s="3" t="s">
        <v>1698</v>
      </c>
      <c r="L45" s="3" t="s">
        <v>1648</v>
      </c>
      <c r="M45" s="3" t="s">
        <v>1649</v>
      </c>
      <c r="N45" s="3" t="s">
        <v>1650</v>
      </c>
      <c r="O45" s="3" t="s">
        <v>1651</v>
      </c>
      <c r="P45" s="3" t="s">
        <v>670</v>
      </c>
      <c r="Q45" s="3" t="s">
        <v>1748</v>
      </c>
      <c r="R45" s="3" t="s">
        <v>1653</v>
      </c>
      <c r="S45" s="3" t="s">
        <v>670</v>
      </c>
      <c r="T45" s="3" t="s">
        <v>1654</v>
      </c>
      <c r="U45" s="3" t="s">
        <v>1449</v>
      </c>
      <c r="V45" s="3" t="s">
        <v>1192</v>
      </c>
      <c r="W45" s="3" t="str">
        <f ca="1">IF(COUNTA(A45:X45)=24,"OK","CHECK")</f>
        <v>OK</v>
      </c>
      <c r="X45" s="3" t="s">
        <v>1655</v>
      </c>
    </row>
    <row r="46" spans="1:24" ht="36" customHeight="1">
      <c r="A46" s="2" t="s">
        <v>1761</v>
      </c>
      <c r="B46" s="2" t="s">
        <v>1762</v>
      </c>
      <c r="C46" s="2" t="s">
        <v>1763</v>
      </c>
      <c r="D46" s="2" t="s">
        <v>1642</v>
      </c>
      <c r="E46" s="2" t="s">
        <v>1129</v>
      </c>
      <c r="F46" s="2" t="s">
        <v>768</v>
      </c>
      <c r="G46" s="2" t="s">
        <v>670</v>
      </c>
      <c r="H46" s="2" t="s">
        <v>1764</v>
      </c>
      <c r="I46" s="2" t="s">
        <v>1721</v>
      </c>
      <c r="J46" s="2" t="s">
        <v>1722</v>
      </c>
      <c r="K46" s="2" t="s">
        <v>1723</v>
      </c>
      <c r="L46" s="2" t="s">
        <v>1648</v>
      </c>
      <c r="M46" s="2" t="s">
        <v>1649</v>
      </c>
      <c r="N46" s="2" t="s">
        <v>1650</v>
      </c>
      <c r="O46" s="2" t="s">
        <v>1651</v>
      </c>
      <c r="P46" s="2" t="s">
        <v>670</v>
      </c>
      <c r="Q46" s="2" t="s">
        <v>670</v>
      </c>
      <c r="R46" s="2" t="s">
        <v>1653</v>
      </c>
      <c r="S46" s="2" t="s">
        <v>670</v>
      </c>
      <c r="T46" s="2" t="s">
        <v>1654</v>
      </c>
      <c r="U46" s="2" t="s">
        <v>1449</v>
      </c>
      <c r="V46" s="2" t="s">
        <v>1192</v>
      </c>
      <c r="W46" s="2" t="str">
        <f ca="1">IF(COUNTA(A46:X46)=24,"OK","CHECK")</f>
        <v>OK</v>
      </c>
      <c r="X46" s="2" t="s">
        <v>1655</v>
      </c>
    </row>
    <row r="47" spans="1:24" ht="36" customHeight="1">
      <c r="A47" s="3" t="s">
        <v>1765</v>
      </c>
      <c r="B47" s="3" t="s">
        <v>1766</v>
      </c>
      <c r="C47" s="3" t="s">
        <v>1763</v>
      </c>
      <c r="D47" s="3" t="s">
        <v>1642</v>
      </c>
      <c r="E47" s="3" t="s">
        <v>1129</v>
      </c>
      <c r="F47" s="3" t="s">
        <v>768</v>
      </c>
      <c r="G47" s="3" t="s">
        <v>670</v>
      </c>
      <c r="H47" s="3" t="s">
        <v>1767</v>
      </c>
      <c r="I47" s="3" t="s">
        <v>1721</v>
      </c>
      <c r="J47" s="3" t="s">
        <v>1722</v>
      </c>
      <c r="K47" s="3" t="s">
        <v>1723</v>
      </c>
      <c r="L47" s="3" t="s">
        <v>1648</v>
      </c>
      <c r="M47" s="3" t="s">
        <v>1649</v>
      </c>
      <c r="N47" s="3" t="s">
        <v>1650</v>
      </c>
      <c r="O47" s="3" t="s">
        <v>1651</v>
      </c>
      <c r="P47" s="3" t="s">
        <v>670</v>
      </c>
      <c r="Q47" s="3" t="s">
        <v>1768</v>
      </c>
      <c r="R47" s="3" t="s">
        <v>1653</v>
      </c>
      <c r="S47" s="3" t="s">
        <v>670</v>
      </c>
      <c r="T47" s="3" t="s">
        <v>1654</v>
      </c>
      <c r="U47" s="3" t="s">
        <v>1449</v>
      </c>
      <c r="V47" s="3" t="s">
        <v>1192</v>
      </c>
      <c r="W47" s="3" t="str">
        <f ca="1">IF(COUNTA(A47:X47)=24,"OK","CHECK")</f>
        <v>OK</v>
      </c>
      <c r="X47" s="3" t="s">
        <v>1655</v>
      </c>
    </row>
    <row r="48" spans="1:24" ht="36" customHeight="1">
      <c r="A48" s="2" t="s">
        <v>1769</v>
      </c>
      <c r="B48" s="2" t="s">
        <v>1770</v>
      </c>
      <c r="C48" s="2" t="s">
        <v>1763</v>
      </c>
      <c r="D48" s="2" t="s">
        <v>1642</v>
      </c>
      <c r="E48" s="2" t="s">
        <v>1129</v>
      </c>
      <c r="F48" s="2" t="s">
        <v>768</v>
      </c>
      <c r="G48" s="2" t="s">
        <v>1771</v>
      </c>
      <c r="H48" s="2" t="s">
        <v>1772</v>
      </c>
      <c r="I48" s="2" t="s">
        <v>1721</v>
      </c>
      <c r="J48" s="2" t="s">
        <v>1773</v>
      </c>
      <c r="K48" s="2" t="s">
        <v>1723</v>
      </c>
      <c r="L48" s="2" t="s">
        <v>1648</v>
      </c>
      <c r="M48" s="2" t="s">
        <v>1649</v>
      </c>
      <c r="N48" s="2" t="s">
        <v>1650</v>
      </c>
      <c r="O48" s="2" t="s">
        <v>1651</v>
      </c>
      <c r="P48" s="2" t="s">
        <v>670</v>
      </c>
      <c r="Q48" s="2" t="s">
        <v>670</v>
      </c>
      <c r="R48" s="2" t="s">
        <v>1653</v>
      </c>
      <c r="S48" s="2" t="s">
        <v>670</v>
      </c>
      <c r="T48" s="2" t="s">
        <v>1654</v>
      </c>
      <c r="U48" s="2" t="s">
        <v>1449</v>
      </c>
      <c r="V48" s="2" t="s">
        <v>1192</v>
      </c>
      <c r="W48" s="2" t="str">
        <f ca="1">IF(COUNTA(A48:X48)=24,"OK","CHECK")</f>
        <v>OK</v>
      </c>
      <c r="X48" s="2" t="s">
        <v>1655</v>
      </c>
    </row>
    <row r="49" spans="1:24" ht="36" customHeight="1">
      <c r="A49" s="3" t="s">
        <v>1774</v>
      </c>
      <c r="B49" s="3" t="s">
        <v>945</v>
      </c>
      <c r="C49" s="3" t="s">
        <v>1775</v>
      </c>
      <c r="D49" s="3" t="s">
        <v>1642</v>
      </c>
      <c r="E49" s="3" t="s">
        <v>670</v>
      </c>
      <c r="F49" s="3" t="s">
        <v>670</v>
      </c>
      <c r="G49" s="3" t="s">
        <v>670</v>
      </c>
      <c r="H49" s="3" t="s">
        <v>1776</v>
      </c>
      <c r="I49" s="3" t="s">
        <v>1721</v>
      </c>
      <c r="J49" s="3" t="s">
        <v>1773</v>
      </c>
      <c r="K49" s="3" t="s">
        <v>1777</v>
      </c>
      <c r="L49" s="3" t="s">
        <v>1778</v>
      </c>
      <c r="M49" s="3" t="s">
        <v>1649</v>
      </c>
      <c r="N49" s="3" t="s">
        <v>1650</v>
      </c>
      <c r="O49" s="3" t="s">
        <v>1779</v>
      </c>
      <c r="P49" s="3" t="s">
        <v>1780</v>
      </c>
      <c r="Q49" s="3" t="s">
        <v>1781</v>
      </c>
      <c r="R49" s="3" t="s">
        <v>1653</v>
      </c>
      <c r="S49" s="3" t="s">
        <v>1782</v>
      </c>
      <c r="T49" s="3" t="s">
        <v>1654</v>
      </c>
      <c r="U49" s="3" t="s">
        <v>1449</v>
      </c>
      <c r="V49" s="3" t="s">
        <v>1192</v>
      </c>
      <c r="W49" s="3" t="str">
        <f ca="1">IF(COUNTA(A49:X49)=24,"OK","CHECK")</f>
        <v>OK</v>
      </c>
      <c r="X49" s="3" t="s">
        <v>1655</v>
      </c>
    </row>
    <row r="50" spans="1:24" ht="36" customHeight="1">
      <c r="A50" s="2" t="s">
        <v>1783</v>
      </c>
      <c r="B50" s="2" t="s">
        <v>1784</v>
      </c>
      <c r="C50" s="2" t="s">
        <v>1775</v>
      </c>
      <c r="D50" s="2" t="s">
        <v>1642</v>
      </c>
      <c r="E50" s="2" t="s">
        <v>670</v>
      </c>
      <c r="F50" s="2" t="s">
        <v>670</v>
      </c>
      <c r="G50" s="2" t="s">
        <v>670</v>
      </c>
      <c r="H50" s="2" t="s">
        <v>1785</v>
      </c>
      <c r="I50" s="2" t="s">
        <v>1721</v>
      </c>
      <c r="J50" s="2" t="s">
        <v>1728</v>
      </c>
      <c r="K50" s="2" t="s">
        <v>1777</v>
      </c>
      <c r="L50" s="2" t="s">
        <v>1778</v>
      </c>
      <c r="M50" s="2" t="s">
        <v>1649</v>
      </c>
      <c r="N50" s="2" t="s">
        <v>1650</v>
      </c>
      <c r="O50" s="2" t="s">
        <v>1779</v>
      </c>
      <c r="P50" s="2" t="s">
        <v>1780</v>
      </c>
      <c r="Q50" s="2" t="s">
        <v>1786</v>
      </c>
      <c r="R50" s="2" t="s">
        <v>1653</v>
      </c>
      <c r="S50" s="2" t="s">
        <v>1787</v>
      </c>
      <c r="T50" s="2" t="s">
        <v>1654</v>
      </c>
      <c r="U50" s="2" t="s">
        <v>1449</v>
      </c>
      <c r="V50" s="2" t="s">
        <v>1192</v>
      </c>
      <c r="W50" s="2" t="str">
        <f ca="1">IF(COUNTA(A50:X50)=24,"OK","CHECK")</f>
        <v>OK</v>
      </c>
      <c r="X50" s="2" t="s">
        <v>1655</v>
      </c>
    </row>
    <row r="51" spans="1:24" ht="36" customHeight="1">
      <c r="A51" s="3" t="s">
        <v>1788</v>
      </c>
      <c r="B51" s="3" t="s">
        <v>1789</v>
      </c>
      <c r="C51" s="3" t="s">
        <v>1775</v>
      </c>
      <c r="D51" s="3" t="s">
        <v>1642</v>
      </c>
      <c r="E51" s="3" t="s">
        <v>670</v>
      </c>
      <c r="F51" s="3" t="s">
        <v>670</v>
      </c>
      <c r="G51" s="3" t="s">
        <v>670</v>
      </c>
      <c r="H51" s="3" t="s">
        <v>1790</v>
      </c>
      <c r="I51" s="3" t="s">
        <v>1721</v>
      </c>
      <c r="J51" s="3" t="s">
        <v>1728</v>
      </c>
      <c r="K51" s="3" t="s">
        <v>1777</v>
      </c>
      <c r="L51" s="3" t="s">
        <v>1778</v>
      </c>
      <c r="M51" s="3" t="s">
        <v>1649</v>
      </c>
      <c r="N51" s="3" t="s">
        <v>1650</v>
      </c>
      <c r="O51" s="3" t="s">
        <v>1779</v>
      </c>
      <c r="P51" s="3" t="s">
        <v>1780</v>
      </c>
      <c r="Q51" s="3" t="s">
        <v>1786</v>
      </c>
      <c r="R51" s="3" t="s">
        <v>1653</v>
      </c>
      <c r="S51" s="3" t="s">
        <v>1791</v>
      </c>
      <c r="T51" s="3" t="s">
        <v>1654</v>
      </c>
      <c r="U51" s="3" t="s">
        <v>1449</v>
      </c>
      <c r="V51" s="3" t="s">
        <v>1192</v>
      </c>
      <c r="W51" s="3" t="str">
        <f ca="1">IF(COUNTA(A51:X51)=24,"OK","CHECK")</f>
        <v>OK</v>
      </c>
      <c r="X51" s="3" t="s">
        <v>1655</v>
      </c>
    </row>
    <row r="52" spans="1:24" ht="36" customHeight="1">
      <c r="A52" s="2" t="s">
        <v>1792</v>
      </c>
      <c r="B52" s="2" t="s">
        <v>1793</v>
      </c>
      <c r="C52" s="2" t="s">
        <v>1775</v>
      </c>
      <c r="D52" s="2" t="s">
        <v>1642</v>
      </c>
      <c r="E52" s="2" t="s">
        <v>670</v>
      </c>
      <c r="F52" s="2" t="s">
        <v>670</v>
      </c>
      <c r="G52" s="2" t="s">
        <v>670</v>
      </c>
      <c r="H52" s="2" t="s">
        <v>1794</v>
      </c>
      <c r="I52" s="2" t="s">
        <v>1645</v>
      </c>
      <c r="J52" s="2" t="s">
        <v>1659</v>
      </c>
      <c r="K52" s="2" t="s">
        <v>1777</v>
      </c>
      <c r="L52" s="2" t="s">
        <v>1778</v>
      </c>
      <c r="M52" s="2" t="s">
        <v>1649</v>
      </c>
      <c r="N52" s="2" t="s">
        <v>1650</v>
      </c>
      <c r="O52" s="2" t="s">
        <v>1779</v>
      </c>
      <c r="P52" s="2" t="s">
        <v>1780</v>
      </c>
      <c r="Q52" s="2" t="s">
        <v>1786</v>
      </c>
      <c r="R52" s="2" t="s">
        <v>1653</v>
      </c>
      <c r="S52" s="2" t="s">
        <v>1791</v>
      </c>
      <c r="T52" s="2" t="s">
        <v>1654</v>
      </c>
      <c r="U52" s="2" t="s">
        <v>1449</v>
      </c>
      <c r="V52" s="2" t="s">
        <v>1192</v>
      </c>
      <c r="W52" s="2" t="str">
        <f ca="1">IF(COUNTA(A52:X52)=24,"OK","CHECK")</f>
        <v>OK</v>
      </c>
      <c r="X52" s="2" t="s">
        <v>1655</v>
      </c>
    </row>
    <row r="53" spans="1:24" ht="36" customHeight="1">
      <c r="A53" s="3" t="s">
        <v>1795</v>
      </c>
      <c r="B53" s="3" t="s">
        <v>1796</v>
      </c>
      <c r="C53" s="3" t="s">
        <v>1003</v>
      </c>
      <c r="D53" s="3" t="s">
        <v>1642</v>
      </c>
      <c r="E53" s="3" t="s">
        <v>1129</v>
      </c>
      <c r="F53" s="3" t="s">
        <v>670</v>
      </c>
      <c r="G53" s="3" t="s">
        <v>670</v>
      </c>
      <c r="H53" s="3" t="s">
        <v>1797</v>
      </c>
      <c r="I53" s="3" t="s">
        <v>1721</v>
      </c>
      <c r="J53" s="3" t="s">
        <v>1798</v>
      </c>
      <c r="K53" s="3" t="s">
        <v>1723</v>
      </c>
      <c r="L53" s="3" t="s">
        <v>1799</v>
      </c>
      <c r="M53" s="3" t="s">
        <v>1649</v>
      </c>
      <c r="N53" s="3" t="s">
        <v>1650</v>
      </c>
      <c r="O53" s="3" t="s">
        <v>1651</v>
      </c>
      <c r="P53" s="3" t="s">
        <v>670</v>
      </c>
      <c r="Q53" s="3" t="s">
        <v>1800</v>
      </c>
      <c r="R53" s="3" t="s">
        <v>1653</v>
      </c>
      <c r="S53" s="3" t="s">
        <v>1800</v>
      </c>
      <c r="T53" s="3" t="s">
        <v>1654</v>
      </c>
      <c r="U53" s="3" t="s">
        <v>1449</v>
      </c>
      <c r="V53" s="3" t="s">
        <v>1192</v>
      </c>
      <c r="W53" s="3" t="str">
        <f ca="1">IF(COUNTA(A53:X53)=24,"OK","CHECK")</f>
        <v>OK</v>
      </c>
      <c r="X53" s="3" t="s">
        <v>1655</v>
      </c>
    </row>
    <row r="54" spans="1:24" ht="36" customHeight="1">
      <c r="A54" s="2" t="s">
        <v>1801</v>
      </c>
      <c r="B54" s="2" t="s">
        <v>1802</v>
      </c>
      <c r="C54" s="2" t="s">
        <v>1803</v>
      </c>
      <c r="D54" s="2" t="s">
        <v>1642</v>
      </c>
      <c r="E54" s="2" t="s">
        <v>670</v>
      </c>
      <c r="F54" s="2" t="s">
        <v>670</v>
      </c>
      <c r="G54" s="2" t="s">
        <v>670</v>
      </c>
      <c r="H54" s="2" t="s">
        <v>1804</v>
      </c>
      <c r="I54" s="2" t="s">
        <v>1721</v>
      </c>
      <c r="J54" s="2" t="s">
        <v>1798</v>
      </c>
      <c r="K54" s="2" t="s">
        <v>1777</v>
      </c>
      <c r="L54" s="2" t="s">
        <v>1648</v>
      </c>
      <c r="M54" s="2" t="s">
        <v>1649</v>
      </c>
      <c r="N54" s="2" t="s">
        <v>1650</v>
      </c>
      <c r="O54" s="2" t="s">
        <v>1779</v>
      </c>
      <c r="P54" s="2" t="s">
        <v>1780</v>
      </c>
      <c r="Q54" s="2" t="s">
        <v>1805</v>
      </c>
      <c r="R54" s="2" t="s">
        <v>1806</v>
      </c>
      <c r="S54" s="2" t="s">
        <v>1807</v>
      </c>
      <c r="T54" s="2" t="s">
        <v>1654</v>
      </c>
      <c r="U54" s="2" t="s">
        <v>1449</v>
      </c>
      <c r="V54" s="2" t="s">
        <v>1192</v>
      </c>
      <c r="W54" s="2" t="str">
        <f ca="1">IF(COUNTA(A54:X54)=24,"OK","CHECK")</f>
        <v>OK</v>
      </c>
      <c r="X54" s="2" t="s">
        <v>1655</v>
      </c>
    </row>
    <row r="55" spans="1:24" ht="36" customHeight="1">
      <c r="A55" s="3" t="s">
        <v>1808</v>
      </c>
      <c r="B55" s="3" t="s">
        <v>1809</v>
      </c>
      <c r="C55" s="3" t="s">
        <v>1145</v>
      </c>
      <c r="D55" s="3" t="s">
        <v>1642</v>
      </c>
      <c r="E55" s="3" t="s">
        <v>670</v>
      </c>
      <c r="F55" s="3" t="s">
        <v>670</v>
      </c>
      <c r="G55" s="3" t="s">
        <v>670</v>
      </c>
      <c r="H55" s="3" t="s">
        <v>1810</v>
      </c>
      <c r="I55" s="3" t="s">
        <v>670</v>
      </c>
      <c r="J55" s="3" t="s">
        <v>670</v>
      </c>
      <c r="K55" s="3" t="s">
        <v>1777</v>
      </c>
      <c r="L55" s="3" t="s">
        <v>1778</v>
      </c>
      <c r="M55" s="3" t="s">
        <v>1649</v>
      </c>
      <c r="N55" s="3" t="s">
        <v>1650</v>
      </c>
      <c r="O55" s="3" t="s">
        <v>1779</v>
      </c>
      <c r="P55" s="3" t="s">
        <v>1780</v>
      </c>
      <c r="Q55" s="3" t="s">
        <v>1811</v>
      </c>
      <c r="R55" s="3" t="s">
        <v>1653</v>
      </c>
      <c r="S55" s="3" t="s">
        <v>1791</v>
      </c>
      <c r="T55" s="3" t="s">
        <v>1654</v>
      </c>
      <c r="U55" s="3" t="s">
        <v>1449</v>
      </c>
      <c r="V55" s="3" t="s">
        <v>1192</v>
      </c>
      <c r="W55" s="3" t="str">
        <f ca="1">IF(COUNTA(A55:X55)=24,"OK","CHECK")</f>
        <v>OK</v>
      </c>
      <c r="X55" s="3" t="s">
        <v>1655</v>
      </c>
    </row>
    <row r="56" spans="1:24" ht="36" customHeight="1">
      <c r="A56" s="2" t="s">
        <v>1812</v>
      </c>
      <c r="B56" s="2" t="s">
        <v>1813</v>
      </c>
      <c r="C56" s="2" t="s">
        <v>1145</v>
      </c>
      <c r="D56" s="2" t="s">
        <v>1642</v>
      </c>
      <c r="E56" s="2" t="s">
        <v>670</v>
      </c>
      <c r="F56" s="2" t="s">
        <v>670</v>
      </c>
      <c r="G56" s="2" t="s">
        <v>670</v>
      </c>
      <c r="H56" s="2" t="s">
        <v>1814</v>
      </c>
      <c r="I56" s="2" t="s">
        <v>1721</v>
      </c>
      <c r="J56" s="2" t="s">
        <v>1722</v>
      </c>
      <c r="K56" s="2" t="s">
        <v>1777</v>
      </c>
      <c r="L56" s="2" t="s">
        <v>1778</v>
      </c>
      <c r="M56" s="2" t="s">
        <v>1649</v>
      </c>
      <c r="N56" s="2" t="s">
        <v>1650</v>
      </c>
      <c r="O56" s="2" t="s">
        <v>1779</v>
      </c>
      <c r="P56" s="2" t="s">
        <v>1780</v>
      </c>
      <c r="Q56" s="2" t="s">
        <v>1815</v>
      </c>
      <c r="R56" s="2" t="s">
        <v>1653</v>
      </c>
      <c r="S56" s="2" t="s">
        <v>1791</v>
      </c>
      <c r="T56" s="2" t="s">
        <v>1654</v>
      </c>
      <c r="U56" s="2" t="s">
        <v>1449</v>
      </c>
      <c r="V56" s="2" t="s">
        <v>1192</v>
      </c>
      <c r="W56" s="2" t="str">
        <f ca="1">IF(COUNTA(A56:X56)=24,"OK","CHECK")</f>
        <v>OK</v>
      </c>
      <c r="X56" s="2" t="s">
        <v>1655</v>
      </c>
    </row>
    <row r="57" spans="1:24" ht="36" customHeight="1">
      <c r="A57" s="3" t="s">
        <v>1816</v>
      </c>
      <c r="B57" s="3" t="s">
        <v>1817</v>
      </c>
      <c r="C57" s="3" t="s">
        <v>753</v>
      </c>
      <c r="D57" s="3" t="s">
        <v>670</v>
      </c>
      <c r="E57" s="3" t="s">
        <v>1129</v>
      </c>
      <c r="F57" s="3" t="s">
        <v>768</v>
      </c>
      <c r="G57" s="3" t="s">
        <v>670</v>
      </c>
      <c r="H57" s="3" t="s">
        <v>1818</v>
      </c>
      <c r="I57" s="3" t="s">
        <v>670</v>
      </c>
      <c r="J57" s="3" t="s">
        <v>670</v>
      </c>
      <c r="K57" s="3" t="s">
        <v>1698</v>
      </c>
      <c r="L57" s="3" t="s">
        <v>1648</v>
      </c>
      <c r="M57" s="3" t="s">
        <v>1649</v>
      </c>
      <c r="N57" s="3" t="s">
        <v>1650</v>
      </c>
      <c r="O57" s="3" t="s">
        <v>1651</v>
      </c>
      <c r="P57" s="3" t="s">
        <v>670</v>
      </c>
      <c r="Q57" s="3" t="s">
        <v>1819</v>
      </c>
      <c r="R57" s="3" t="s">
        <v>1653</v>
      </c>
      <c r="S57" s="3" t="s">
        <v>1820</v>
      </c>
      <c r="T57" s="3" t="s">
        <v>1654</v>
      </c>
      <c r="U57" s="3" t="s">
        <v>1449</v>
      </c>
      <c r="V57" s="3" t="s">
        <v>1192</v>
      </c>
      <c r="W57" s="3" t="str">
        <f ca="1">IF(COUNTA(A57:X57)=24,"OK","CHECK")</f>
        <v>OK</v>
      </c>
      <c r="X57" s="3" t="s">
        <v>1655</v>
      </c>
    </row>
    <row r="58" spans="1:24" ht="36" customHeight="1">
      <c r="A58" s="2" t="s">
        <v>1821</v>
      </c>
      <c r="B58" s="2" t="s">
        <v>1822</v>
      </c>
      <c r="C58" s="2" t="s">
        <v>753</v>
      </c>
      <c r="D58" s="2" t="s">
        <v>670</v>
      </c>
      <c r="E58" s="2" t="s">
        <v>1823</v>
      </c>
      <c r="F58" s="2" t="s">
        <v>768</v>
      </c>
      <c r="G58" s="2" t="s">
        <v>1824</v>
      </c>
      <c r="H58" s="2" t="s">
        <v>1825</v>
      </c>
      <c r="I58" s="2" t="s">
        <v>1645</v>
      </c>
      <c r="J58" s="2" t="s">
        <v>1826</v>
      </c>
      <c r="K58" s="2" t="s">
        <v>1698</v>
      </c>
      <c r="L58" s="2" t="s">
        <v>1648</v>
      </c>
      <c r="M58" s="2" t="s">
        <v>1649</v>
      </c>
      <c r="N58" s="2" t="s">
        <v>1650</v>
      </c>
      <c r="O58" s="2" t="s">
        <v>1651</v>
      </c>
      <c r="P58" s="2" t="s">
        <v>670</v>
      </c>
      <c r="Q58" s="2" t="s">
        <v>1827</v>
      </c>
      <c r="R58" s="2" t="s">
        <v>1653</v>
      </c>
      <c r="S58" s="2" t="s">
        <v>670</v>
      </c>
      <c r="T58" s="2" t="s">
        <v>1654</v>
      </c>
      <c r="U58" s="2" t="s">
        <v>1449</v>
      </c>
      <c r="V58" s="2" t="s">
        <v>1192</v>
      </c>
      <c r="W58" s="2" t="str">
        <f ca="1">IF(COUNTA(A58:X58)=24,"OK","CHECK")</f>
        <v>OK</v>
      </c>
      <c r="X58" s="2" t="s">
        <v>1655</v>
      </c>
    </row>
    <row r="59" spans="1:24" ht="36" customHeight="1">
      <c r="A59" s="3" t="s">
        <v>1828</v>
      </c>
      <c r="B59" s="3" t="s">
        <v>103</v>
      </c>
      <c r="C59" s="3" t="s">
        <v>753</v>
      </c>
      <c r="D59" s="3" t="s">
        <v>670</v>
      </c>
      <c r="E59" s="3" t="s">
        <v>670</v>
      </c>
      <c r="F59" s="3" t="s">
        <v>768</v>
      </c>
      <c r="G59" s="3" t="s">
        <v>1829</v>
      </c>
      <c r="H59" s="3" t="s">
        <v>1830</v>
      </c>
      <c r="I59" s="3" t="s">
        <v>1645</v>
      </c>
      <c r="J59" s="3" t="s">
        <v>1831</v>
      </c>
      <c r="K59" s="3" t="s">
        <v>1698</v>
      </c>
      <c r="L59" s="3" t="s">
        <v>1648</v>
      </c>
      <c r="M59" s="3" t="s">
        <v>1649</v>
      </c>
      <c r="N59" s="3" t="s">
        <v>1650</v>
      </c>
      <c r="O59" s="3" t="s">
        <v>1651</v>
      </c>
      <c r="P59" s="3" t="s">
        <v>670</v>
      </c>
      <c r="Q59" s="3" t="s">
        <v>1827</v>
      </c>
      <c r="R59" s="3" t="s">
        <v>1653</v>
      </c>
      <c r="S59" s="3" t="s">
        <v>670</v>
      </c>
      <c r="T59" s="3" t="s">
        <v>1654</v>
      </c>
      <c r="U59" s="3" t="s">
        <v>1449</v>
      </c>
      <c r="V59" s="3" t="s">
        <v>1192</v>
      </c>
      <c r="W59" s="3" t="str">
        <f ca="1">IF(COUNTA(A59:X59)=24,"OK","CHECK")</f>
        <v>OK</v>
      </c>
      <c r="X59" s="3" t="s">
        <v>1655</v>
      </c>
    </row>
    <row r="60" spans="1:24" ht="36" customHeight="1">
      <c r="A60" s="2" t="s">
        <v>1832</v>
      </c>
      <c r="B60" s="2" t="s">
        <v>1833</v>
      </c>
      <c r="C60" s="2" t="s">
        <v>753</v>
      </c>
      <c r="D60" s="2" t="s">
        <v>670</v>
      </c>
      <c r="E60" s="2" t="s">
        <v>670</v>
      </c>
      <c r="F60" s="2" t="s">
        <v>1834</v>
      </c>
      <c r="G60" s="2" t="s">
        <v>1835</v>
      </c>
      <c r="H60" s="2" t="s">
        <v>1836</v>
      </c>
      <c r="I60" s="2" t="s">
        <v>670</v>
      </c>
      <c r="J60" s="2" t="s">
        <v>670</v>
      </c>
      <c r="K60" s="2" t="s">
        <v>1698</v>
      </c>
      <c r="L60" s="2" t="s">
        <v>1648</v>
      </c>
      <c r="M60" s="2" t="s">
        <v>1649</v>
      </c>
      <c r="N60" s="2" t="s">
        <v>1650</v>
      </c>
      <c r="O60" s="2" t="s">
        <v>1651</v>
      </c>
      <c r="P60" s="2" t="s">
        <v>670</v>
      </c>
      <c r="Q60" s="2" t="s">
        <v>1827</v>
      </c>
      <c r="R60" s="2" t="s">
        <v>1653</v>
      </c>
      <c r="S60" s="2" t="s">
        <v>670</v>
      </c>
      <c r="T60" s="2" t="s">
        <v>1654</v>
      </c>
      <c r="U60" s="2" t="s">
        <v>1449</v>
      </c>
      <c r="V60" s="2" t="s">
        <v>1192</v>
      </c>
      <c r="W60" s="2" t="str">
        <f ca="1">IF(COUNTA(A60:X60)=24,"OK","CHECK")</f>
        <v>OK</v>
      </c>
      <c r="X60" s="2" t="s">
        <v>1655</v>
      </c>
    </row>
    <row r="61" spans="1:24" ht="36" customHeight="1">
      <c r="A61" s="3" t="s">
        <v>1837</v>
      </c>
      <c r="B61" s="3" t="s">
        <v>1838</v>
      </c>
      <c r="C61" s="3" t="s">
        <v>1839</v>
      </c>
      <c r="D61" s="3" t="s">
        <v>1642</v>
      </c>
      <c r="E61" s="3" t="s">
        <v>670</v>
      </c>
      <c r="F61" s="3" t="s">
        <v>670</v>
      </c>
      <c r="G61" s="3" t="s">
        <v>561</v>
      </c>
      <c r="H61" s="3" t="s">
        <v>1840</v>
      </c>
      <c r="I61" s="3" t="s">
        <v>1645</v>
      </c>
      <c r="J61" s="3" t="s">
        <v>1646</v>
      </c>
      <c r="K61" s="3" t="s">
        <v>1723</v>
      </c>
      <c r="L61" s="3" t="s">
        <v>1648</v>
      </c>
      <c r="M61" s="3" t="s">
        <v>1649</v>
      </c>
      <c r="N61" s="3" t="s">
        <v>1650</v>
      </c>
      <c r="O61" s="3" t="s">
        <v>1651</v>
      </c>
      <c r="P61" s="3" t="s">
        <v>670</v>
      </c>
      <c r="Q61" s="3" t="s">
        <v>1841</v>
      </c>
      <c r="R61" s="3" t="s">
        <v>1653</v>
      </c>
      <c r="S61" s="3" t="s">
        <v>670</v>
      </c>
      <c r="T61" s="3" t="s">
        <v>1654</v>
      </c>
      <c r="U61" s="3" t="s">
        <v>1449</v>
      </c>
      <c r="V61" s="3" t="s">
        <v>1192</v>
      </c>
      <c r="W61" s="3" t="str">
        <f ca="1">IF(COUNTA(A61:X61)=24,"OK","CHECK")</f>
        <v>OK</v>
      </c>
      <c r="X61" s="3" t="s">
        <v>1655</v>
      </c>
    </row>
    <row r="62" spans="1:24" ht="36" customHeight="1">
      <c r="A62" s="2" t="s">
        <v>1842</v>
      </c>
      <c r="B62" s="2" t="s">
        <v>1843</v>
      </c>
      <c r="C62" s="2" t="s">
        <v>1839</v>
      </c>
      <c r="D62" s="2" t="s">
        <v>670</v>
      </c>
      <c r="E62" s="2" t="s">
        <v>1129</v>
      </c>
      <c r="F62" s="2" t="s">
        <v>670</v>
      </c>
      <c r="G62" s="2" t="s">
        <v>1844</v>
      </c>
      <c r="H62" s="2" t="s">
        <v>1845</v>
      </c>
      <c r="I62" s="2" t="s">
        <v>1645</v>
      </c>
      <c r="J62" s="2" t="s">
        <v>1659</v>
      </c>
      <c r="K62" s="2" t="s">
        <v>1723</v>
      </c>
      <c r="L62" s="2" t="s">
        <v>1648</v>
      </c>
      <c r="M62" s="2" t="s">
        <v>1649</v>
      </c>
      <c r="N62" s="2" t="s">
        <v>1650</v>
      </c>
      <c r="O62" s="2" t="s">
        <v>1651</v>
      </c>
      <c r="P62" s="2" t="s">
        <v>670</v>
      </c>
      <c r="Q62" s="2" t="s">
        <v>1841</v>
      </c>
      <c r="R62" s="2" t="s">
        <v>1653</v>
      </c>
      <c r="S62" s="2" t="s">
        <v>670</v>
      </c>
      <c r="T62" s="2" t="s">
        <v>1654</v>
      </c>
      <c r="U62" s="2" t="s">
        <v>1449</v>
      </c>
      <c r="V62" s="2" t="s">
        <v>1192</v>
      </c>
      <c r="W62" s="2" t="str">
        <f ca="1">IF(COUNTA(A62:X62)=24,"OK","CHECK")</f>
        <v>OK</v>
      </c>
      <c r="X62" s="2" t="s">
        <v>1655</v>
      </c>
    </row>
    <row r="63" spans="1:24" ht="36" customHeight="1">
      <c r="A63" s="3" t="s">
        <v>1846</v>
      </c>
      <c r="B63" s="3" t="s">
        <v>1847</v>
      </c>
      <c r="C63" s="3" t="s">
        <v>1839</v>
      </c>
      <c r="D63" s="3" t="s">
        <v>670</v>
      </c>
      <c r="E63" s="3" t="s">
        <v>1129</v>
      </c>
      <c r="F63" s="3" t="s">
        <v>670</v>
      </c>
      <c r="G63" s="3" t="s">
        <v>1848</v>
      </c>
      <c r="H63" s="3" t="s">
        <v>1849</v>
      </c>
      <c r="I63" s="3" t="s">
        <v>1645</v>
      </c>
      <c r="J63" s="3" t="s">
        <v>1646</v>
      </c>
      <c r="K63" s="3" t="s">
        <v>1723</v>
      </c>
      <c r="L63" s="3" t="s">
        <v>1648</v>
      </c>
      <c r="M63" s="3" t="s">
        <v>1649</v>
      </c>
      <c r="N63" s="3" t="s">
        <v>1650</v>
      </c>
      <c r="O63" s="3" t="s">
        <v>1651</v>
      </c>
      <c r="P63" s="3" t="s">
        <v>670</v>
      </c>
      <c r="Q63" s="3" t="s">
        <v>1841</v>
      </c>
      <c r="R63" s="3" t="s">
        <v>1653</v>
      </c>
      <c r="S63" s="3" t="s">
        <v>670</v>
      </c>
      <c r="T63" s="3" t="s">
        <v>1654</v>
      </c>
      <c r="U63" s="3" t="s">
        <v>1449</v>
      </c>
      <c r="V63" s="3" t="s">
        <v>1192</v>
      </c>
      <c r="W63" s="3" t="str">
        <f ca="1">IF(COUNTA(A63:X63)=24,"OK","CHECK")</f>
        <v>OK</v>
      </c>
      <c r="X63" s="3" t="s">
        <v>1655</v>
      </c>
    </row>
    <row r="64" spans="1:24" ht="36" customHeight="1">
      <c r="A64" s="2" t="s">
        <v>1850</v>
      </c>
      <c r="B64" s="2" t="s">
        <v>1851</v>
      </c>
      <c r="C64" s="2" t="s">
        <v>1839</v>
      </c>
      <c r="D64" s="2" t="s">
        <v>670</v>
      </c>
      <c r="E64" s="2" t="s">
        <v>1129</v>
      </c>
      <c r="F64" s="2" t="s">
        <v>670</v>
      </c>
      <c r="G64" s="2" t="s">
        <v>1852</v>
      </c>
      <c r="H64" s="2" t="s">
        <v>1853</v>
      </c>
      <c r="I64" s="2" t="s">
        <v>1645</v>
      </c>
      <c r="J64" s="2" t="s">
        <v>1646</v>
      </c>
      <c r="K64" s="2" t="s">
        <v>1723</v>
      </c>
      <c r="L64" s="2" t="s">
        <v>1648</v>
      </c>
      <c r="M64" s="2" t="s">
        <v>1649</v>
      </c>
      <c r="N64" s="2" t="s">
        <v>1650</v>
      </c>
      <c r="O64" s="2" t="s">
        <v>1651</v>
      </c>
      <c r="P64" s="2" t="s">
        <v>670</v>
      </c>
      <c r="Q64" s="2" t="s">
        <v>1841</v>
      </c>
      <c r="R64" s="2" t="s">
        <v>1653</v>
      </c>
      <c r="S64" s="2" t="s">
        <v>670</v>
      </c>
      <c r="T64" s="2" t="s">
        <v>1654</v>
      </c>
      <c r="U64" s="2" t="s">
        <v>1449</v>
      </c>
      <c r="V64" s="2" t="s">
        <v>1192</v>
      </c>
      <c r="W64" s="2" t="str">
        <f ca="1">IF(COUNTA(A64:X64)=24,"OK","CHECK")</f>
        <v>OK</v>
      </c>
      <c r="X64" s="2" t="s">
        <v>1655</v>
      </c>
    </row>
    <row r="65" spans="1:24" ht="36" customHeight="1">
      <c r="A65" s="3" t="s">
        <v>1854</v>
      </c>
      <c r="B65" s="3" t="s">
        <v>1855</v>
      </c>
      <c r="C65" s="3" t="s">
        <v>1856</v>
      </c>
      <c r="D65" s="3" t="s">
        <v>670</v>
      </c>
      <c r="E65" s="3" t="s">
        <v>1857</v>
      </c>
      <c r="F65" s="3" t="s">
        <v>670</v>
      </c>
      <c r="G65" s="3" t="s">
        <v>1858</v>
      </c>
      <c r="H65" s="3" t="s">
        <v>1859</v>
      </c>
      <c r="I65" s="3" t="s">
        <v>670</v>
      </c>
      <c r="J65" s="3" t="s">
        <v>670</v>
      </c>
      <c r="K65" s="3" t="s">
        <v>670</v>
      </c>
      <c r="L65" s="3" t="s">
        <v>670</v>
      </c>
      <c r="M65" s="3" t="s">
        <v>670</v>
      </c>
      <c r="N65" s="3" t="s">
        <v>670</v>
      </c>
      <c r="O65" s="3" t="s">
        <v>670</v>
      </c>
      <c r="P65" s="3" t="s">
        <v>670</v>
      </c>
      <c r="Q65" s="3" t="s">
        <v>670</v>
      </c>
      <c r="R65" s="3" t="s">
        <v>1860</v>
      </c>
      <c r="S65" s="3" t="s">
        <v>670</v>
      </c>
      <c r="T65" s="3" t="s">
        <v>1861</v>
      </c>
      <c r="U65" s="3" t="s">
        <v>80</v>
      </c>
      <c r="V65" s="3" t="s">
        <v>1862</v>
      </c>
      <c r="W65" s="3" t="str">
        <f ca="1">IF(COUNTA(A65:X65)=24,"OK","CHECK")</f>
        <v>OK</v>
      </c>
      <c r="X65" s="3" t="s">
        <v>1863</v>
      </c>
    </row>
    <row r="66" spans="1:24" ht="36" customHeight="1">
      <c r="A66" s="2" t="s">
        <v>1864</v>
      </c>
      <c r="B66" s="2" t="s">
        <v>1865</v>
      </c>
      <c r="C66" s="2" t="s">
        <v>1856</v>
      </c>
      <c r="D66" s="2" t="s">
        <v>670</v>
      </c>
      <c r="E66" s="2" t="s">
        <v>1857</v>
      </c>
      <c r="F66" s="2" t="s">
        <v>670</v>
      </c>
      <c r="G66" s="2" t="s">
        <v>1858</v>
      </c>
      <c r="H66" s="2" t="s">
        <v>1859</v>
      </c>
      <c r="I66" s="2" t="s">
        <v>670</v>
      </c>
      <c r="J66" s="2" t="s">
        <v>670</v>
      </c>
      <c r="K66" s="2" t="s">
        <v>670</v>
      </c>
      <c r="L66" s="2" t="s">
        <v>670</v>
      </c>
      <c r="M66" s="2" t="s">
        <v>670</v>
      </c>
      <c r="N66" s="2" t="s">
        <v>670</v>
      </c>
      <c r="O66" s="2" t="s">
        <v>670</v>
      </c>
      <c r="P66" s="2" t="s">
        <v>670</v>
      </c>
      <c r="Q66" s="2" t="s">
        <v>670</v>
      </c>
      <c r="R66" s="2" t="s">
        <v>1860</v>
      </c>
      <c r="S66" s="2" t="s">
        <v>670</v>
      </c>
      <c r="T66" s="2" t="s">
        <v>1861</v>
      </c>
      <c r="U66" s="2" t="s">
        <v>80</v>
      </c>
      <c r="V66" s="2" t="s">
        <v>1862</v>
      </c>
      <c r="W66" s="2" t="str">
        <f ca="1">IF(COUNTA(A66:X66)=24,"OK","CHECK")</f>
        <v>OK</v>
      </c>
      <c r="X66" s="2" t="s">
        <v>1863</v>
      </c>
    </row>
    <row r="67" spans="1:24" ht="36" customHeight="1">
      <c r="A67" s="3" t="s">
        <v>1866</v>
      </c>
      <c r="B67" s="3" t="s">
        <v>1867</v>
      </c>
      <c r="C67" s="3" t="s">
        <v>1868</v>
      </c>
      <c r="D67" s="3" t="s">
        <v>670</v>
      </c>
      <c r="E67" s="3" t="s">
        <v>670</v>
      </c>
      <c r="F67" s="3" t="s">
        <v>670</v>
      </c>
      <c r="G67" s="3" t="s">
        <v>1869</v>
      </c>
      <c r="H67" s="3" t="s">
        <v>1870</v>
      </c>
      <c r="I67" s="3" t="s">
        <v>670</v>
      </c>
      <c r="J67" s="3" t="s">
        <v>670</v>
      </c>
      <c r="K67" s="3" t="s">
        <v>670</v>
      </c>
      <c r="L67" s="3" t="s">
        <v>670</v>
      </c>
      <c r="M67" s="3" t="s">
        <v>670</v>
      </c>
      <c r="N67" s="3" t="s">
        <v>670</v>
      </c>
      <c r="O67" s="3" t="s">
        <v>670</v>
      </c>
      <c r="P67" s="3" t="s">
        <v>670</v>
      </c>
      <c r="Q67" s="3" t="s">
        <v>670</v>
      </c>
      <c r="R67" s="3" t="s">
        <v>1871</v>
      </c>
      <c r="S67" s="3" t="s">
        <v>670</v>
      </c>
      <c r="T67" s="3" t="s">
        <v>670</v>
      </c>
      <c r="U67" s="3" t="s">
        <v>1868</v>
      </c>
      <c r="V67" s="3" t="s">
        <v>1872</v>
      </c>
      <c r="W67" s="3" t="str">
        <f ca="1">IF(COUNTA(A67:X67)=24,"OK","CHECK")</f>
        <v>OK</v>
      </c>
      <c r="X67" s="3" t="s">
        <v>1873</v>
      </c>
    </row>
    <row r="68" spans="1:24" ht="36" customHeight="1">
      <c r="A68" s="2" t="s">
        <v>1874</v>
      </c>
      <c r="B68" s="2" t="s">
        <v>1875</v>
      </c>
      <c r="C68" s="2" t="s">
        <v>1868</v>
      </c>
      <c r="D68" s="2" t="s">
        <v>670</v>
      </c>
      <c r="E68" s="2" t="s">
        <v>670</v>
      </c>
      <c r="F68" s="2" t="s">
        <v>670</v>
      </c>
      <c r="G68" s="2" t="s">
        <v>1869</v>
      </c>
      <c r="H68" s="2" t="s">
        <v>1870</v>
      </c>
      <c r="I68" s="2" t="s">
        <v>670</v>
      </c>
      <c r="J68" s="2" t="s">
        <v>670</v>
      </c>
      <c r="K68" s="2" t="s">
        <v>670</v>
      </c>
      <c r="L68" s="2" t="s">
        <v>670</v>
      </c>
      <c r="M68" s="2" t="s">
        <v>670</v>
      </c>
      <c r="N68" s="2" t="s">
        <v>670</v>
      </c>
      <c r="O68" s="2" t="s">
        <v>670</v>
      </c>
      <c r="P68" s="2" t="s">
        <v>670</v>
      </c>
      <c r="Q68" s="2" t="s">
        <v>670</v>
      </c>
      <c r="R68" s="2" t="s">
        <v>1871</v>
      </c>
      <c r="S68" s="2" t="s">
        <v>670</v>
      </c>
      <c r="T68" s="2" t="s">
        <v>670</v>
      </c>
      <c r="U68" s="2" t="s">
        <v>1868</v>
      </c>
      <c r="V68" s="2" t="s">
        <v>1872</v>
      </c>
      <c r="W68" s="2" t="str">
        <f ca="1">IF(COUNTA(A68:X68)=24,"OK","CHECK")</f>
        <v>OK</v>
      </c>
      <c r="X68" s="2" t="s">
        <v>1873</v>
      </c>
    </row>
    <row r="69" spans="1:24" ht="36" customHeight="1">
      <c r="A69" s="3" t="s">
        <v>1876</v>
      </c>
      <c r="B69" s="3" t="s">
        <v>1877</v>
      </c>
      <c r="C69" s="3" t="s">
        <v>1868</v>
      </c>
      <c r="D69" s="3" t="s">
        <v>670</v>
      </c>
      <c r="E69" s="3" t="s">
        <v>670</v>
      </c>
      <c r="F69" s="3" t="s">
        <v>670</v>
      </c>
      <c r="G69" s="3" t="s">
        <v>1869</v>
      </c>
      <c r="H69" s="3" t="s">
        <v>1870</v>
      </c>
      <c r="I69" s="3" t="s">
        <v>670</v>
      </c>
      <c r="J69" s="3" t="s">
        <v>670</v>
      </c>
      <c r="K69" s="3" t="s">
        <v>670</v>
      </c>
      <c r="L69" s="3" t="s">
        <v>670</v>
      </c>
      <c r="M69" s="3" t="s">
        <v>670</v>
      </c>
      <c r="N69" s="3" t="s">
        <v>670</v>
      </c>
      <c r="O69" s="3" t="s">
        <v>670</v>
      </c>
      <c r="P69" s="3" t="s">
        <v>670</v>
      </c>
      <c r="Q69" s="3" t="s">
        <v>670</v>
      </c>
      <c r="R69" s="3" t="s">
        <v>1871</v>
      </c>
      <c r="S69" s="3" t="s">
        <v>670</v>
      </c>
      <c r="T69" s="3" t="s">
        <v>670</v>
      </c>
      <c r="U69" s="3" t="s">
        <v>1868</v>
      </c>
      <c r="V69" s="3" t="s">
        <v>1872</v>
      </c>
      <c r="W69" s="3" t="str">
        <f ca="1">IF(COUNTA(A69:X69)=24,"OK","CHECK")</f>
        <v>OK</v>
      </c>
      <c r="X69" s="3" t="s">
        <v>1873</v>
      </c>
    </row>
    <row r="70" spans="1:24" ht="36" customHeight="1">
      <c r="A70" s="2" t="s">
        <v>1878</v>
      </c>
      <c r="B70" s="2" t="s">
        <v>1879</v>
      </c>
      <c r="C70" s="2" t="s">
        <v>1868</v>
      </c>
      <c r="D70" s="2" t="s">
        <v>670</v>
      </c>
      <c r="E70" s="2" t="s">
        <v>670</v>
      </c>
      <c r="F70" s="2" t="s">
        <v>670</v>
      </c>
      <c r="G70" s="2" t="s">
        <v>1869</v>
      </c>
      <c r="H70" s="2" t="s">
        <v>1870</v>
      </c>
      <c r="I70" s="2" t="s">
        <v>670</v>
      </c>
      <c r="J70" s="2" t="s">
        <v>670</v>
      </c>
      <c r="K70" s="2" t="s">
        <v>670</v>
      </c>
      <c r="L70" s="2" t="s">
        <v>670</v>
      </c>
      <c r="M70" s="2" t="s">
        <v>670</v>
      </c>
      <c r="N70" s="2" t="s">
        <v>670</v>
      </c>
      <c r="O70" s="2" t="s">
        <v>670</v>
      </c>
      <c r="P70" s="2" t="s">
        <v>670</v>
      </c>
      <c r="Q70" s="2" t="s">
        <v>670</v>
      </c>
      <c r="R70" s="2" t="s">
        <v>1871</v>
      </c>
      <c r="S70" s="2" t="s">
        <v>670</v>
      </c>
      <c r="T70" s="2" t="s">
        <v>670</v>
      </c>
      <c r="U70" s="2" t="s">
        <v>1868</v>
      </c>
      <c r="V70" s="2" t="s">
        <v>1872</v>
      </c>
      <c r="W70" s="2" t="str">
        <f ca="1">IF(COUNTA(A70:X70)=24,"OK","CHECK")</f>
        <v>OK</v>
      </c>
      <c r="X70" s="2" t="s">
        <v>1873</v>
      </c>
    </row>
    <row r="71" spans="1:24" ht="36" customHeight="1">
      <c r="A71" s="3" t="s">
        <v>1880</v>
      </c>
      <c r="B71" s="3" t="s">
        <v>1881</v>
      </c>
      <c r="C71" s="3" t="s">
        <v>1868</v>
      </c>
      <c r="D71" s="3" t="s">
        <v>670</v>
      </c>
      <c r="E71" s="3" t="s">
        <v>670</v>
      </c>
      <c r="F71" s="3" t="s">
        <v>670</v>
      </c>
      <c r="G71" s="3" t="s">
        <v>1869</v>
      </c>
      <c r="H71" s="3" t="s">
        <v>1870</v>
      </c>
      <c r="I71" s="3" t="s">
        <v>670</v>
      </c>
      <c r="J71" s="3" t="s">
        <v>670</v>
      </c>
      <c r="K71" s="3" t="s">
        <v>670</v>
      </c>
      <c r="L71" s="3" t="s">
        <v>670</v>
      </c>
      <c r="M71" s="3" t="s">
        <v>670</v>
      </c>
      <c r="N71" s="3" t="s">
        <v>670</v>
      </c>
      <c r="O71" s="3" t="s">
        <v>670</v>
      </c>
      <c r="P71" s="3" t="s">
        <v>670</v>
      </c>
      <c r="Q71" s="3" t="s">
        <v>670</v>
      </c>
      <c r="R71" s="3" t="s">
        <v>1871</v>
      </c>
      <c r="S71" s="3" t="s">
        <v>670</v>
      </c>
      <c r="T71" s="3" t="s">
        <v>670</v>
      </c>
      <c r="U71" s="3" t="s">
        <v>1868</v>
      </c>
      <c r="V71" s="3" t="s">
        <v>1872</v>
      </c>
      <c r="W71" s="3" t="str">
        <f ca="1">IF(COUNTA(A71:X71)=24,"OK","CHECK")</f>
        <v>OK</v>
      </c>
      <c r="X71" s="3" t="s">
        <v>1873</v>
      </c>
    </row>
    <row r="72" spans="1:24" ht="36" customHeight="1">
      <c r="A72" s="2" t="s">
        <v>1882</v>
      </c>
      <c r="B72" s="2" t="s">
        <v>1883</v>
      </c>
      <c r="C72" s="2" t="s">
        <v>1868</v>
      </c>
      <c r="D72" s="2" t="s">
        <v>670</v>
      </c>
      <c r="E72" s="2" t="s">
        <v>670</v>
      </c>
      <c r="F72" s="2" t="s">
        <v>670</v>
      </c>
      <c r="G72" s="2" t="s">
        <v>1869</v>
      </c>
      <c r="H72" s="2" t="s">
        <v>1870</v>
      </c>
      <c r="I72" s="2" t="s">
        <v>670</v>
      </c>
      <c r="J72" s="2" t="s">
        <v>670</v>
      </c>
      <c r="K72" s="2" t="s">
        <v>670</v>
      </c>
      <c r="L72" s="2" t="s">
        <v>670</v>
      </c>
      <c r="M72" s="2" t="s">
        <v>670</v>
      </c>
      <c r="N72" s="2" t="s">
        <v>670</v>
      </c>
      <c r="O72" s="2" t="s">
        <v>670</v>
      </c>
      <c r="P72" s="2" t="s">
        <v>670</v>
      </c>
      <c r="Q72" s="2" t="s">
        <v>670</v>
      </c>
      <c r="R72" s="2" t="s">
        <v>1871</v>
      </c>
      <c r="S72" s="2" t="s">
        <v>670</v>
      </c>
      <c r="T72" s="2" t="s">
        <v>670</v>
      </c>
      <c r="U72" s="2" t="s">
        <v>1868</v>
      </c>
      <c r="V72" s="2" t="s">
        <v>1872</v>
      </c>
      <c r="W72" s="2" t="str">
        <f ca="1">IF(COUNTA(A72:X72)=24,"OK","CHECK")</f>
        <v>OK</v>
      </c>
      <c r="X72" s="2" t="s">
        <v>1873</v>
      </c>
    </row>
    <row r="73" spans="1:24" ht="36" customHeight="1">
      <c r="A73" s="3" t="s">
        <v>1884</v>
      </c>
      <c r="B73" s="3" t="s">
        <v>1885</v>
      </c>
      <c r="C73" s="3" t="s">
        <v>1868</v>
      </c>
      <c r="D73" s="3" t="s">
        <v>670</v>
      </c>
      <c r="E73" s="3" t="s">
        <v>670</v>
      </c>
      <c r="F73" s="3" t="s">
        <v>670</v>
      </c>
      <c r="G73" s="3" t="s">
        <v>1869</v>
      </c>
      <c r="H73" s="3" t="s">
        <v>1870</v>
      </c>
      <c r="I73" s="3" t="s">
        <v>670</v>
      </c>
      <c r="J73" s="3" t="s">
        <v>670</v>
      </c>
      <c r="K73" s="3" t="s">
        <v>670</v>
      </c>
      <c r="L73" s="3" t="s">
        <v>670</v>
      </c>
      <c r="M73" s="3" t="s">
        <v>670</v>
      </c>
      <c r="N73" s="3" t="s">
        <v>670</v>
      </c>
      <c r="O73" s="3" t="s">
        <v>670</v>
      </c>
      <c r="P73" s="3" t="s">
        <v>670</v>
      </c>
      <c r="Q73" s="3" t="s">
        <v>670</v>
      </c>
      <c r="R73" s="3" t="s">
        <v>1871</v>
      </c>
      <c r="S73" s="3" t="s">
        <v>670</v>
      </c>
      <c r="T73" s="3" t="s">
        <v>670</v>
      </c>
      <c r="U73" s="3" t="s">
        <v>1868</v>
      </c>
      <c r="V73" s="3" t="s">
        <v>1872</v>
      </c>
      <c r="W73" s="3" t="str">
        <f ca="1">IF(COUNTA(A73:X73)=24,"OK","CHECK")</f>
        <v>OK</v>
      </c>
      <c r="X73" s="3" t="s">
        <v>1873</v>
      </c>
    </row>
    <row r="75" spans="1:24" ht="22.5" customHeight="1">
      <c r="A75" s="11" t="s">
        <v>1886</v>
      </c>
      <c r="B75" s="11"/>
      <c r="C75" s="11"/>
      <c r="D75" s="11"/>
      <c r="E75" s="11"/>
      <c r="F75" s="11"/>
    </row>
    <row r="76" spans="1:24" ht="36" customHeight="1">
      <c r="A76" s="4" t="s">
        <v>1887</v>
      </c>
    </row>
    <row r="77" spans="1:24" ht="36" customHeight="1">
      <c r="A77" s="3" t="s">
        <v>1888</v>
      </c>
    </row>
    <row r="78" spans="1:24" ht="36" customHeight="1">
      <c r="A78" s="2" t="s">
        <v>1889</v>
      </c>
      <c r="B78" s="2" t="s">
        <v>1890</v>
      </c>
      <c r="C78" s="2" t="s">
        <v>1629</v>
      </c>
      <c r="D78" s="2" t="s">
        <v>1891</v>
      </c>
      <c r="E78" s="2" t="s">
        <v>1892</v>
      </c>
      <c r="F78" s="2" t="s">
        <v>1638</v>
      </c>
    </row>
    <row r="79" spans="1:24" ht="36" customHeight="1">
      <c r="A79" s="3" t="s">
        <v>1855</v>
      </c>
      <c r="B79" s="3" t="s">
        <v>1893</v>
      </c>
      <c r="C79" s="3" t="s">
        <v>1894</v>
      </c>
      <c r="D79" s="3" t="s">
        <v>1895</v>
      </c>
      <c r="E79" s="3" t="s">
        <v>1896</v>
      </c>
      <c r="F79" s="3" t="s">
        <v>1861</v>
      </c>
    </row>
    <row r="80" spans="1:24" ht="36" customHeight="1">
      <c r="A80" s="2" t="s">
        <v>1865</v>
      </c>
      <c r="B80" s="2" t="s">
        <v>1893</v>
      </c>
      <c r="C80" s="2" t="s">
        <v>1894</v>
      </c>
      <c r="D80" s="2" t="s">
        <v>1895</v>
      </c>
      <c r="E80" s="2" t="s">
        <v>1897</v>
      </c>
      <c r="F80" s="2" t="s">
        <v>1861</v>
      </c>
    </row>
    <row r="82" spans="1:3" ht="22.5" customHeight="1">
      <c r="A82" s="11" t="s">
        <v>1898</v>
      </c>
      <c r="B82" s="11"/>
      <c r="C82" s="11"/>
    </row>
    <row r="83" spans="1:3" ht="36" customHeight="1">
      <c r="A83" s="4" t="s">
        <v>1899</v>
      </c>
    </row>
    <row r="84" spans="1:3" ht="36" customHeight="1">
      <c r="A84" s="3" t="s">
        <v>1900</v>
      </c>
    </row>
    <row r="85" spans="1:3" ht="36" customHeight="1">
      <c r="A85" s="2" t="s">
        <v>40</v>
      </c>
      <c r="B85" s="2" t="s">
        <v>232</v>
      </c>
      <c r="C85" s="2" t="s">
        <v>42</v>
      </c>
    </row>
    <row r="86" spans="1:3" ht="36" customHeight="1">
      <c r="A86" s="3" t="s">
        <v>1901</v>
      </c>
      <c r="B86" s="3" t="s">
        <v>1902</v>
      </c>
      <c r="C86" s="3" t="s">
        <v>1870</v>
      </c>
    </row>
  </sheetData>
  <mergeCells count="6">
    <mergeCell ref="A82:C82"/>
    <mergeCell ref="A1:H1"/>
    <mergeCell ref="A2:H2"/>
    <mergeCell ref="A4:C4"/>
    <mergeCell ref="A15:X15"/>
    <mergeCell ref="A75:F7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44"/>
  <sheetViews>
    <sheetView showGridLines="0" zoomScaleNormal="100" workbookViewId="0">
      <pane ySplit="4" topLeftCell="A5" activePane="bottomLeft" state="frozen"/>
      <selection pane="bottomLeft"/>
    </sheetView>
  </sheetViews>
  <sheetFormatPr defaultColWidth="8.7109375" defaultRowHeight="15"/>
  <cols>
    <col min="1" max="1" width="30" customWidth="1"/>
    <col min="2" max="3" width="44" customWidth="1"/>
    <col min="4" max="8" width="24" customWidth="1"/>
    <col min="9" max="33" width="28" customWidth="1"/>
  </cols>
  <sheetData>
    <row r="1" spans="1:8" ht="27.75" customHeight="1">
      <c r="A1" s="12" t="s">
        <v>21</v>
      </c>
      <c r="B1" s="12"/>
      <c r="C1" s="12"/>
      <c r="D1" s="12"/>
      <c r="E1" s="12"/>
      <c r="F1" s="12"/>
      <c r="G1" s="12"/>
      <c r="H1" s="12"/>
    </row>
    <row r="2" spans="1:8" ht="33.75" customHeight="1">
      <c r="A2" s="13" t="s">
        <v>22</v>
      </c>
      <c r="B2" s="13"/>
      <c r="C2" s="13"/>
      <c r="D2" s="13"/>
      <c r="E2" s="13"/>
      <c r="F2" s="13"/>
      <c r="G2" s="13"/>
      <c r="H2" s="13"/>
    </row>
    <row r="4" spans="1:8" ht="22.5" customHeight="1">
      <c r="A4" s="11" t="s">
        <v>1903</v>
      </c>
      <c r="B4" s="11"/>
      <c r="C4" s="11"/>
    </row>
    <row r="5" spans="1:8" ht="36" customHeight="1">
      <c r="A5" s="4" t="s">
        <v>1904</v>
      </c>
    </row>
    <row r="6" spans="1:8" ht="36" customHeight="1">
      <c r="A6" s="3" t="s">
        <v>1905</v>
      </c>
    </row>
    <row r="7" spans="1:8" ht="36" customHeight="1">
      <c r="A7" s="2" t="s">
        <v>1906</v>
      </c>
      <c r="B7" s="2" t="s">
        <v>232</v>
      </c>
      <c r="C7" s="2" t="s">
        <v>42</v>
      </c>
    </row>
    <row r="8" spans="1:8" ht="36" customHeight="1">
      <c r="A8" s="3" t="s">
        <v>1906</v>
      </c>
      <c r="B8" s="3" t="s">
        <v>232</v>
      </c>
      <c r="C8" s="3" t="s">
        <v>42</v>
      </c>
    </row>
    <row r="9" spans="1:8" ht="36" customHeight="1">
      <c r="A9" s="2" t="s">
        <v>1907</v>
      </c>
      <c r="B9" s="2" t="s">
        <v>1908</v>
      </c>
      <c r="C9" s="2" t="s">
        <v>46</v>
      </c>
    </row>
    <row r="10" spans="1:8" ht="36" customHeight="1">
      <c r="A10" s="3" t="s">
        <v>129</v>
      </c>
      <c r="B10" s="3" t="s">
        <v>1909</v>
      </c>
      <c r="C10" s="3" t="s">
        <v>46</v>
      </c>
    </row>
    <row r="11" spans="1:8" ht="36" customHeight="1">
      <c r="A11" s="2" t="s">
        <v>1910</v>
      </c>
      <c r="B11" s="2" t="s">
        <v>1911</v>
      </c>
      <c r="C11" s="2" t="s">
        <v>46</v>
      </c>
    </row>
    <row r="12" spans="1:8" ht="36" customHeight="1">
      <c r="A12" s="3" t="s">
        <v>1912</v>
      </c>
      <c r="B12" s="3" t="s">
        <v>1913</v>
      </c>
      <c r="C12" s="3" t="s">
        <v>46</v>
      </c>
    </row>
    <row r="13" spans="1:8" ht="36" customHeight="1">
      <c r="A13" s="2" t="s">
        <v>1914</v>
      </c>
      <c r="B13" s="2" t="s">
        <v>1915</v>
      </c>
      <c r="C13" s="2" t="s">
        <v>46</v>
      </c>
    </row>
    <row r="14" spans="1:8" ht="36" customHeight="1">
      <c r="A14" s="3" t="s">
        <v>1916</v>
      </c>
      <c r="B14" s="3" t="s">
        <v>1917</v>
      </c>
      <c r="C14" s="3" t="s">
        <v>46</v>
      </c>
    </row>
    <row r="15" spans="1:8" ht="36" customHeight="1">
      <c r="A15" s="2" t="s">
        <v>1107</v>
      </c>
      <c r="B15" s="2" t="s">
        <v>1918</v>
      </c>
      <c r="C15" s="2" t="s">
        <v>46</v>
      </c>
    </row>
    <row r="16" spans="1:8" ht="36" customHeight="1">
      <c r="A16" s="3" t="s">
        <v>1919</v>
      </c>
      <c r="B16" s="3" t="s">
        <v>1920</v>
      </c>
      <c r="C16" s="3" t="s">
        <v>1921</v>
      </c>
    </row>
    <row r="17" spans="1:33" ht="36" customHeight="1">
      <c r="A17" s="2" t="s">
        <v>1922</v>
      </c>
      <c r="B17" s="2" t="s">
        <v>1918</v>
      </c>
      <c r="C17" s="2" t="s">
        <v>46</v>
      </c>
    </row>
    <row r="18" spans="1:33" ht="36" customHeight="1">
      <c r="A18" s="3" t="s">
        <v>1923</v>
      </c>
      <c r="B18" s="3" t="s">
        <v>1924</v>
      </c>
      <c r="C18" s="3" t="s">
        <v>834</v>
      </c>
    </row>
    <row r="19" spans="1:33" ht="36" customHeight="1">
      <c r="A19" s="2" t="s">
        <v>1925</v>
      </c>
      <c r="B19" s="2" t="s">
        <v>232</v>
      </c>
      <c r="C19" s="2" t="s">
        <v>42</v>
      </c>
    </row>
    <row r="20" spans="1:33" ht="36" customHeight="1">
      <c r="A20" s="3" t="s">
        <v>1926</v>
      </c>
      <c r="B20" s="3" t="s">
        <v>1927</v>
      </c>
      <c r="C20" s="3" t="s">
        <v>46</v>
      </c>
    </row>
    <row r="21" spans="1:33" ht="36" customHeight="1">
      <c r="A21" s="2" t="s">
        <v>1928</v>
      </c>
      <c r="B21" s="2" t="s">
        <v>1929</v>
      </c>
      <c r="C21" s="2" t="s">
        <v>46</v>
      </c>
    </row>
    <row r="22" spans="1:33" ht="36" customHeight="1">
      <c r="A22" s="3" t="s">
        <v>1930</v>
      </c>
      <c r="B22" s="3" t="s">
        <v>1931</v>
      </c>
      <c r="C22" s="3" t="s">
        <v>46</v>
      </c>
    </row>
    <row r="23" spans="1:33" ht="36" customHeight="1">
      <c r="A23" s="2" t="s">
        <v>1932</v>
      </c>
      <c r="B23" s="2" t="s">
        <v>1933</v>
      </c>
      <c r="C23" s="2" t="s">
        <v>46</v>
      </c>
    </row>
    <row r="24" spans="1:33" ht="36" customHeight="1">
      <c r="A24" s="3" t="s">
        <v>1934</v>
      </c>
      <c r="B24" s="3" t="s">
        <v>1935</v>
      </c>
      <c r="C24" s="3" t="s">
        <v>80</v>
      </c>
    </row>
    <row r="26" spans="1:33" ht="22.5" customHeight="1">
      <c r="A26" s="11" t="s">
        <v>1936</v>
      </c>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row>
    <row r="27" spans="1:33" ht="36" customHeight="1">
      <c r="A27" s="4" t="s">
        <v>1937</v>
      </c>
    </row>
    <row r="28" spans="1:33" ht="36" customHeight="1">
      <c r="A28" s="3" t="s">
        <v>1938</v>
      </c>
    </row>
    <row r="29" spans="1:33" ht="36" customHeight="1">
      <c r="A29" s="2" t="s">
        <v>1939</v>
      </c>
      <c r="B29" s="2" t="s">
        <v>1940</v>
      </c>
      <c r="C29" s="2" t="s">
        <v>202</v>
      </c>
      <c r="D29" s="2" t="s">
        <v>1941</v>
      </c>
      <c r="E29" s="2" t="s">
        <v>1942</v>
      </c>
      <c r="F29" s="2" t="s">
        <v>1943</v>
      </c>
      <c r="G29" s="2" t="s">
        <v>1944</v>
      </c>
      <c r="H29" s="2" t="s">
        <v>1945</v>
      </c>
      <c r="I29" s="2" t="s">
        <v>1946</v>
      </c>
      <c r="J29" s="2" t="s">
        <v>1947</v>
      </c>
      <c r="K29" s="2" t="s">
        <v>1948</v>
      </c>
      <c r="L29" s="2" t="s">
        <v>1930</v>
      </c>
      <c r="M29" s="2" t="s">
        <v>1949</v>
      </c>
      <c r="N29" s="2" t="s">
        <v>1950</v>
      </c>
      <c r="O29" s="2" t="s">
        <v>1951</v>
      </c>
      <c r="P29" s="2" t="s">
        <v>1952</v>
      </c>
      <c r="Q29" s="2" t="s">
        <v>1953</v>
      </c>
      <c r="R29" s="2" t="s">
        <v>1954</v>
      </c>
      <c r="S29" s="2" t="s">
        <v>1955</v>
      </c>
      <c r="T29" s="2" t="s">
        <v>1956</v>
      </c>
      <c r="U29" s="2" t="s">
        <v>1957</v>
      </c>
      <c r="V29" s="2" t="s">
        <v>1958</v>
      </c>
      <c r="W29" s="2" t="s">
        <v>1959</v>
      </c>
      <c r="X29" s="2" t="s">
        <v>1960</v>
      </c>
      <c r="Y29" s="2" t="s">
        <v>1961</v>
      </c>
      <c r="Z29" s="2" t="s">
        <v>1962</v>
      </c>
      <c r="AA29" s="2" t="s">
        <v>1963</v>
      </c>
      <c r="AB29" s="2" t="s">
        <v>1964</v>
      </c>
      <c r="AC29" s="2" t="s">
        <v>1638</v>
      </c>
      <c r="AD29" s="2" t="s">
        <v>1166</v>
      </c>
      <c r="AE29" s="2" t="s">
        <v>1167</v>
      </c>
      <c r="AF29" s="2" t="s">
        <v>1168</v>
      </c>
      <c r="AG29" s="2" t="s">
        <v>204</v>
      </c>
    </row>
    <row r="30" spans="1:33" ht="36" customHeight="1">
      <c r="A30" s="3" t="s">
        <v>1965</v>
      </c>
      <c r="B30" s="3" t="s">
        <v>1966</v>
      </c>
      <c r="C30" s="3" t="s">
        <v>1967</v>
      </c>
      <c r="D30" s="3">
        <v>5</v>
      </c>
      <c r="E30" s="3">
        <v>-10</v>
      </c>
      <c r="F30" s="3">
        <v>-10</v>
      </c>
      <c r="G30" s="3">
        <v>15</v>
      </c>
      <c r="H30" s="3">
        <v>5</v>
      </c>
      <c r="I30" s="3">
        <v>-5</v>
      </c>
      <c r="J30" s="3">
        <f>SUM(D30:I30)</f>
        <v>0</v>
      </c>
      <c r="K30" s="3" t="str">
        <f>IF(AND(J30=0,MIN(D30:I30)&gt;=-15,MAX(D30:I30)&lt;=15),"PASS","FAIL")</f>
        <v>PASS</v>
      </c>
      <c r="L30" s="3" t="s">
        <v>1968</v>
      </c>
      <c r="M30" s="3" t="s">
        <v>1969</v>
      </c>
      <c r="N30" s="3" t="s">
        <v>1970</v>
      </c>
      <c r="O30" s="3" t="s">
        <v>1971</v>
      </c>
      <c r="P30" s="3" t="s">
        <v>754</v>
      </c>
      <c r="Q30" s="3" t="s">
        <v>1972</v>
      </c>
      <c r="R30" s="3" t="s">
        <v>1973</v>
      </c>
      <c r="S30" s="3" t="s">
        <v>1974</v>
      </c>
      <c r="T30" s="3" t="s">
        <v>1966</v>
      </c>
      <c r="U30" s="3" t="s">
        <v>1433</v>
      </c>
      <c r="V30" s="3" t="s">
        <v>1434</v>
      </c>
      <c r="W30" s="3" t="s">
        <v>1373</v>
      </c>
      <c r="X30" s="3" t="s">
        <v>1374</v>
      </c>
      <c r="Y30" s="3" t="s">
        <v>1411</v>
      </c>
      <c r="Z30" s="3" t="s">
        <v>1412</v>
      </c>
      <c r="AA30" s="3">
        <v>1</v>
      </c>
      <c r="AB30" s="3" t="s">
        <v>1975</v>
      </c>
      <c r="AC30" s="3" t="s">
        <v>1976</v>
      </c>
      <c r="AD30" s="3" t="s">
        <v>1449</v>
      </c>
      <c r="AE30" s="3" t="s">
        <v>1192</v>
      </c>
      <c r="AF30" s="3" t="str">
        <f>IF(AND(K30="PASS",AA30=1,COUNTA(U30:Z30)=6),"OK","CHECK")</f>
        <v>OK</v>
      </c>
      <c r="AG30" s="3" t="s">
        <v>1977</v>
      </c>
    </row>
    <row r="31" spans="1:33" ht="36" customHeight="1">
      <c r="A31" s="2" t="s">
        <v>1978</v>
      </c>
      <c r="B31" s="2" t="s">
        <v>1979</v>
      </c>
      <c r="C31" s="2" t="s">
        <v>1980</v>
      </c>
      <c r="D31" s="2">
        <v>15</v>
      </c>
      <c r="E31" s="2">
        <v>5</v>
      </c>
      <c r="F31" s="2">
        <v>-15</v>
      </c>
      <c r="G31" s="2">
        <v>5</v>
      </c>
      <c r="H31" s="2">
        <v>-5</v>
      </c>
      <c r="I31" s="2">
        <v>-5</v>
      </c>
      <c r="J31" s="2">
        <f>SUM(D31:I31)</f>
        <v>0</v>
      </c>
      <c r="K31" s="2" t="str">
        <f>IF(AND(J31=0,MIN(D31:I31)&gt;=-15,MAX(D31:I31)&lt;=15),"PASS","FAIL")</f>
        <v>PASS</v>
      </c>
      <c r="L31" s="2" t="s">
        <v>1981</v>
      </c>
      <c r="M31" s="2" t="s">
        <v>1982</v>
      </c>
      <c r="N31" s="2" t="s">
        <v>1983</v>
      </c>
      <c r="O31" s="2" t="s">
        <v>1437</v>
      </c>
      <c r="P31" s="2" t="s">
        <v>754</v>
      </c>
      <c r="Q31" s="2" t="s">
        <v>1972</v>
      </c>
      <c r="R31" s="2" t="s">
        <v>1984</v>
      </c>
      <c r="S31" s="2" t="s">
        <v>1974</v>
      </c>
      <c r="T31" s="2" t="s">
        <v>1979</v>
      </c>
      <c r="U31" s="2" t="s">
        <v>1451</v>
      </c>
      <c r="V31" s="2" t="s">
        <v>1452</v>
      </c>
      <c r="W31" s="2" t="s">
        <v>1310</v>
      </c>
      <c r="X31" s="2" t="s">
        <v>1311</v>
      </c>
      <c r="Y31" s="2" t="s">
        <v>1357</v>
      </c>
      <c r="Z31" s="2" t="s">
        <v>1358</v>
      </c>
      <c r="AA31" s="2">
        <v>1</v>
      </c>
      <c r="AB31" s="2" t="s">
        <v>1975</v>
      </c>
      <c r="AC31" s="2" t="s">
        <v>1976</v>
      </c>
      <c r="AD31" s="2" t="s">
        <v>1449</v>
      </c>
      <c r="AE31" s="2" t="s">
        <v>1192</v>
      </c>
      <c r="AF31" s="2" t="str">
        <f>IF(AND(K31="PASS",AA31=1,COUNTA(U31:Z31)=6),"OK","CHECK")</f>
        <v>OK</v>
      </c>
      <c r="AG31" s="2" t="s">
        <v>1977</v>
      </c>
    </row>
    <row r="32" spans="1:33" ht="36" customHeight="1">
      <c r="A32" s="3" t="s">
        <v>1985</v>
      </c>
      <c r="B32" s="3" t="s">
        <v>1986</v>
      </c>
      <c r="C32" s="3" t="s">
        <v>1987</v>
      </c>
      <c r="D32" s="3">
        <v>-10</v>
      </c>
      <c r="E32" s="3">
        <v>-5</v>
      </c>
      <c r="F32" s="3">
        <v>15</v>
      </c>
      <c r="G32" s="3">
        <v>-10</v>
      </c>
      <c r="H32" s="3">
        <v>5</v>
      </c>
      <c r="I32" s="3">
        <v>5</v>
      </c>
      <c r="J32" s="3">
        <f>SUM(D32:I32)</f>
        <v>0</v>
      </c>
      <c r="K32" s="3" t="str">
        <f>IF(AND(J32=0,MIN(D32:I32)&gt;=-15,MAX(D32:I32)&lt;=15),"PASS","FAIL")</f>
        <v>PASS</v>
      </c>
      <c r="L32" s="3" t="s">
        <v>1988</v>
      </c>
      <c r="M32" s="3" t="s">
        <v>1989</v>
      </c>
      <c r="N32" s="3" t="s">
        <v>1990</v>
      </c>
      <c r="O32" s="3" t="s">
        <v>1437</v>
      </c>
      <c r="P32" s="3" t="s">
        <v>1991</v>
      </c>
      <c r="Q32" s="3" t="s">
        <v>1992</v>
      </c>
      <c r="R32" s="3" t="s">
        <v>670</v>
      </c>
      <c r="S32" s="3" t="s">
        <v>1974</v>
      </c>
      <c r="T32" s="3" t="s">
        <v>1986</v>
      </c>
      <c r="U32" s="3" t="s">
        <v>1463</v>
      </c>
      <c r="V32" s="3" t="s">
        <v>1464</v>
      </c>
      <c r="W32" s="3" t="s">
        <v>1170</v>
      </c>
      <c r="X32" s="3" t="s">
        <v>1171</v>
      </c>
      <c r="Y32" s="3" t="s">
        <v>1272</v>
      </c>
      <c r="Z32" s="3" t="s">
        <v>1273</v>
      </c>
      <c r="AA32" s="3">
        <v>1</v>
      </c>
      <c r="AB32" s="3" t="s">
        <v>1975</v>
      </c>
      <c r="AC32" s="3" t="s">
        <v>1976</v>
      </c>
      <c r="AD32" s="3" t="s">
        <v>1449</v>
      </c>
      <c r="AE32" s="3" t="s">
        <v>1192</v>
      </c>
      <c r="AF32" s="3" t="str">
        <f>IF(AND(K32="PASS",AA32=1,COUNTA(U32:Z32)=6),"OK","CHECK")</f>
        <v>OK</v>
      </c>
      <c r="AG32" s="3" t="s">
        <v>1977</v>
      </c>
    </row>
    <row r="33" spans="1:33" ht="36" customHeight="1">
      <c r="A33" s="2" t="s">
        <v>1993</v>
      </c>
      <c r="B33" s="2" t="s">
        <v>1994</v>
      </c>
      <c r="C33" s="2" t="s">
        <v>1995</v>
      </c>
      <c r="D33" s="2">
        <v>-5</v>
      </c>
      <c r="E33" s="2">
        <v>-5</v>
      </c>
      <c r="F33" s="2">
        <v>5</v>
      </c>
      <c r="G33" s="2">
        <v>-15</v>
      </c>
      <c r="H33" s="2">
        <v>10</v>
      </c>
      <c r="I33" s="2">
        <v>10</v>
      </c>
      <c r="J33" s="2">
        <f>SUM(D33:I33)</f>
        <v>0</v>
      </c>
      <c r="K33" s="2" t="str">
        <f>IF(AND(J33=0,MIN(D33:I33)&gt;=-15,MAX(D33:I33)&lt;=15),"PASS","FAIL")</f>
        <v>PASS</v>
      </c>
      <c r="L33" s="2" t="s">
        <v>1996</v>
      </c>
      <c r="M33" s="2" t="s">
        <v>1997</v>
      </c>
      <c r="N33" s="2" t="s">
        <v>1998</v>
      </c>
      <c r="O33" s="2" t="s">
        <v>1999</v>
      </c>
      <c r="P33" s="2" t="s">
        <v>754</v>
      </c>
      <c r="Q33" s="2" t="s">
        <v>2000</v>
      </c>
      <c r="R33" s="2" t="s">
        <v>2001</v>
      </c>
      <c r="S33" s="2" t="s">
        <v>1974</v>
      </c>
      <c r="T33" s="2" t="s">
        <v>1994</v>
      </c>
      <c r="U33" s="2" t="s">
        <v>1471</v>
      </c>
      <c r="V33" s="2" t="s">
        <v>1472</v>
      </c>
      <c r="W33" s="2" t="s">
        <v>1286</v>
      </c>
      <c r="X33" s="2" t="s">
        <v>1287</v>
      </c>
      <c r="Y33" s="2" t="s">
        <v>1240</v>
      </c>
      <c r="Z33" s="2" t="s">
        <v>1241</v>
      </c>
      <c r="AA33" s="2">
        <v>1</v>
      </c>
      <c r="AB33" s="2" t="s">
        <v>1975</v>
      </c>
      <c r="AC33" s="2" t="s">
        <v>1976</v>
      </c>
      <c r="AD33" s="2" t="s">
        <v>1449</v>
      </c>
      <c r="AE33" s="2" t="s">
        <v>1192</v>
      </c>
      <c r="AF33" s="2" t="str">
        <f>IF(AND(K33="PASS",AA33=1,COUNTA(U33:Z33)=6),"OK","CHECK")</f>
        <v>OK</v>
      </c>
      <c r="AG33" s="2" t="s">
        <v>1977</v>
      </c>
    </row>
    <row r="34" spans="1:33" ht="36" customHeight="1">
      <c r="A34" s="3" t="s">
        <v>2002</v>
      </c>
      <c r="B34" s="3" t="s">
        <v>2003</v>
      </c>
      <c r="C34" s="3" t="s">
        <v>2004</v>
      </c>
      <c r="D34" s="3">
        <v>-5</v>
      </c>
      <c r="E34" s="3">
        <v>10</v>
      </c>
      <c r="F34" s="3">
        <v>-10</v>
      </c>
      <c r="G34" s="3">
        <v>-15</v>
      </c>
      <c r="H34" s="3">
        <v>15</v>
      </c>
      <c r="I34" s="3">
        <v>5</v>
      </c>
      <c r="J34" s="3">
        <f>SUM(D34:I34)</f>
        <v>0</v>
      </c>
      <c r="K34" s="3" t="str">
        <f>IF(AND(J34=0,MIN(D34:I34)&gt;=-15,MAX(D34:I34)&lt;=15),"PASS","FAIL")</f>
        <v>PASS</v>
      </c>
      <c r="L34" s="3" t="s">
        <v>2005</v>
      </c>
      <c r="M34" s="3" t="s">
        <v>2006</v>
      </c>
      <c r="N34" s="3" t="s">
        <v>2007</v>
      </c>
      <c r="O34" s="3" t="s">
        <v>1437</v>
      </c>
      <c r="P34" s="3" t="s">
        <v>2008</v>
      </c>
      <c r="Q34" s="3" t="s">
        <v>1972</v>
      </c>
      <c r="R34" s="3" t="s">
        <v>2009</v>
      </c>
      <c r="S34" s="3" t="s">
        <v>1974</v>
      </c>
      <c r="T34" s="3" t="s">
        <v>2003</v>
      </c>
      <c r="U34" s="3" t="s">
        <v>1478</v>
      </c>
      <c r="V34" s="3" t="s">
        <v>1479</v>
      </c>
      <c r="W34" s="3" t="s">
        <v>1339</v>
      </c>
      <c r="X34" s="3" t="s">
        <v>1340</v>
      </c>
      <c r="Y34" s="3" t="s">
        <v>1348</v>
      </c>
      <c r="Z34" s="3" t="s">
        <v>1349</v>
      </c>
      <c r="AA34" s="3">
        <v>1</v>
      </c>
      <c r="AB34" s="3" t="s">
        <v>1975</v>
      </c>
      <c r="AC34" s="3" t="s">
        <v>1976</v>
      </c>
      <c r="AD34" s="3" t="s">
        <v>1449</v>
      </c>
      <c r="AE34" s="3" t="s">
        <v>1192</v>
      </c>
      <c r="AF34" s="3" t="str">
        <f>IF(AND(K34="PASS",AA34=1,COUNTA(U34:Z34)=6),"OK","CHECK")</f>
        <v>OK</v>
      </c>
      <c r="AG34" s="3" t="s">
        <v>1977</v>
      </c>
    </row>
    <row r="35" spans="1:33" ht="36" customHeight="1">
      <c r="A35" s="2" t="s">
        <v>2010</v>
      </c>
      <c r="B35" s="2" t="s">
        <v>2011</v>
      </c>
      <c r="C35" s="2" t="s">
        <v>2012</v>
      </c>
      <c r="D35" s="2">
        <v>10</v>
      </c>
      <c r="E35" s="2">
        <v>-5</v>
      </c>
      <c r="F35" s="2">
        <v>-10</v>
      </c>
      <c r="G35" s="2">
        <v>10</v>
      </c>
      <c r="H35" s="2">
        <v>-10</v>
      </c>
      <c r="I35" s="2">
        <v>5</v>
      </c>
      <c r="J35" s="2">
        <f>SUM(D35:I35)</f>
        <v>0</v>
      </c>
      <c r="K35" s="2" t="str">
        <f>IF(AND(J35=0,MIN(D35:I35)&gt;=-15,MAX(D35:I35)&lt;=15),"PASS","FAIL")</f>
        <v>PASS</v>
      </c>
      <c r="L35" s="2" t="s">
        <v>2013</v>
      </c>
      <c r="M35" s="2" t="s">
        <v>1997</v>
      </c>
      <c r="N35" s="2" t="s">
        <v>2014</v>
      </c>
      <c r="O35" s="2" t="s">
        <v>1999</v>
      </c>
      <c r="P35" s="2" t="s">
        <v>754</v>
      </c>
      <c r="Q35" s="2" t="s">
        <v>2000</v>
      </c>
      <c r="R35" s="2" t="s">
        <v>2001</v>
      </c>
      <c r="S35" s="2" t="s">
        <v>1974</v>
      </c>
      <c r="T35" s="2" t="s">
        <v>2011</v>
      </c>
      <c r="U35" s="2" t="s">
        <v>1491</v>
      </c>
      <c r="V35" s="2" t="s">
        <v>1492</v>
      </c>
      <c r="W35" s="2" t="s">
        <v>1385</v>
      </c>
      <c r="X35" s="2" t="s">
        <v>1386</v>
      </c>
      <c r="Y35" s="2" t="s">
        <v>1334</v>
      </c>
      <c r="Z35" s="2" t="s">
        <v>1335</v>
      </c>
      <c r="AA35" s="2">
        <v>1</v>
      </c>
      <c r="AB35" s="2" t="s">
        <v>1975</v>
      </c>
      <c r="AC35" s="2" t="s">
        <v>1976</v>
      </c>
      <c r="AD35" s="2" t="s">
        <v>1449</v>
      </c>
      <c r="AE35" s="2" t="s">
        <v>1192</v>
      </c>
      <c r="AF35" s="2" t="str">
        <f>IF(AND(K35="PASS",AA35=1,COUNTA(U35:Z35)=6),"OK","CHECK")</f>
        <v>OK</v>
      </c>
      <c r="AG35" s="2" t="s">
        <v>1977</v>
      </c>
    </row>
    <row r="36" spans="1:33" ht="36" customHeight="1">
      <c r="A36" s="3" t="s">
        <v>2015</v>
      </c>
      <c r="B36" s="3" t="s">
        <v>2016</v>
      </c>
      <c r="C36" s="3" t="s">
        <v>1507</v>
      </c>
      <c r="D36" s="3">
        <v>-10</v>
      </c>
      <c r="E36" s="3">
        <v>-5</v>
      </c>
      <c r="F36" s="3">
        <v>10</v>
      </c>
      <c r="G36" s="3">
        <v>-15</v>
      </c>
      <c r="H36" s="3">
        <v>5</v>
      </c>
      <c r="I36" s="3">
        <v>15</v>
      </c>
      <c r="J36" s="3">
        <f>SUM(D36:I36)</f>
        <v>0</v>
      </c>
      <c r="K36" s="3" t="str">
        <f>IF(AND(J36=0,MIN(D36:I36)&gt;=-15,MAX(D36:I36)&lt;=15),"PASS","FAIL")</f>
        <v>PASS</v>
      </c>
      <c r="L36" s="3" t="s">
        <v>2017</v>
      </c>
      <c r="M36" s="3" t="s">
        <v>2018</v>
      </c>
      <c r="N36" s="3" t="s">
        <v>2019</v>
      </c>
      <c r="O36" s="3" t="s">
        <v>2020</v>
      </c>
      <c r="P36" s="3" t="s">
        <v>2021</v>
      </c>
      <c r="Q36" s="3" t="s">
        <v>2022</v>
      </c>
      <c r="R36" s="3" t="s">
        <v>670</v>
      </c>
      <c r="S36" s="3" t="s">
        <v>1974</v>
      </c>
      <c r="T36" s="3" t="s">
        <v>2016</v>
      </c>
      <c r="U36" s="3" t="s">
        <v>1501</v>
      </c>
      <c r="V36" s="3" t="s">
        <v>1502</v>
      </c>
      <c r="W36" s="3" t="s">
        <v>1253</v>
      </c>
      <c r="X36" s="3" t="s">
        <v>1254</v>
      </c>
      <c r="Y36" s="3" t="s">
        <v>1194</v>
      </c>
      <c r="Z36" s="3" t="s">
        <v>1195</v>
      </c>
      <c r="AA36" s="3">
        <v>1</v>
      </c>
      <c r="AB36" s="3" t="s">
        <v>1975</v>
      </c>
      <c r="AC36" s="3" t="s">
        <v>1976</v>
      </c>
      <c r="AD36" s="3" t="s">
        <v>1449</v>
      </c>
      <c r="AE36" s="3" t="s">
        <v>1192</v>
      </c>
      <c r="AF36" s="3" t="str">
        <f>IF(AND(K36="PASS",AA36=1,COUNTA(U36:Z36)=6),"OK","CHECK")</f>
        <v>OK</v>
      </c>
      <c r="AG36" s="3" t="s">
        <v>1977</v>
      </c>
    </row>
    <row r="37" spans="1:33" ht="36" customHeight="1">
      <c r="A37" s="2" t="s">
        <v>2023</v>
      </c>
      <c r="B37" s="2" t="s">
        <v>2024</v>
      </c>
      <c r="C37" s="2" t="s">
        <v>2025</v>
      </c>
      <c r="D37" s="2">
        <v>10</v>
      </c>
      <c r="E37" s="2">
        <v>-5</v>
      </c>
      <c r="F37" s="2">
        <v>10</v>
      </c>
      <c r="G37" s="2">
        <v>-10</v>
      </c>
      <c r="H37" s="2">
        <v>5</v>
      </c>
      <c r="I37" s="2">
        <v>-10</v>
      </c>
      <c r="J37" s="2">
        <f>SUM(D37:I37)</f>
        <v>0</v>
      </c>
      <c r="K37" s="2" t="str">
        <f>IF(AND(J37=0,MIN(D37:I37)&gt;=-15,MAX(D37:I37)&lt;=15),"PASS","FAIL")</f>
        <v>PASS</v>
      </c>
      <c r="L37" s="2" t="s">
        <v>2026</v>
      </c>
      <c r="M37" s="2" t="s">
        <v>2027</v>
      </c>
      <c r="N37" s="2" t="s">
        <v>2028</v>
      </c>
      <c r="O37" s="2" t="s">
        <v>1437</v>
      </c>
      <c r="P37" s="2" t="s">
        <v>2029</v>
      </c>
      <c r="Q37" s="2" t="s">
        <v>2030</v>
      </c>
      <c r="R37" s="2" t="s">
        <v>2031</v>
      </c>
      <c r="S37" s="2" t="s">
        <v>1974</v>
      </c>
      <c r="T37" s="2" t="s">
        <v>2024</v>
      </c>
      <c r="U37" s="2" t="s">
        <v>1508</v>
      </c>
      <c r="V37" s="2" t="s">
        <v>1509</v>
      </c>
      <c r="W37" s="2" t="s">
        <v>1310</v>
      </c>
      <c r="X37" s="2" t="s">
        <v>1311</v>
      </c>
      <c r="Y37" s="2" t="s">
        <v>1391</v>
      </c>
      <c r="Z37" s="2" t="s">
        <v>1392</v>
      </c>
      <c r="AA37" s="2">
        <v>1</v>
      </c>
      <c r="AB37" s="2" t="s">
        <v>1975</v>
      </c>
      <c r="AC37" s="2" t="s">
        <v>1976</v>
      </c>
      <c r="AD37" s="2" t="s">
        <v>1449</v>
      </c>
      <c r="AE37" s="2" t="s">
        <v>1192</v>
      </c>
      <c r="AF37" s="2" t="str">
        <f>IF(AND(K37="PASS",AA37=1,COUNTA(U37:Z37)=6),"OK","CHECK")</f>
        <v>OK</v>
      </c>
      <c r="AG37" s="2" t="s">
        <v>1977</v>
      </c>
    </row>
    <row r="38" spans="1:33" ht="36" customHeight="1">
      <c r="A38" s="3" t="s">
        <v>2032</v>
      </c>
      <c r="B38" s="3" t="s">
        <v>2033</v>
      </c>
      <c r="C38" s="3" t="s">
        <v>2034</v>
      </c>
      <c r="D38" s="3">
        <v>-10</v>
      </c>
      <c r="E38" s="3">
        <v>-5</v>
      </c>
      <c r="F38" s="3">
        <v>10</v>
      </c>
      <c r="G38" s="3">
        <v>10</v>
      </c>
      <c r="H38" s="3">
        <v>5</v>
      </c>
      <c r="I38" s="3">
        <v>-10</v>
      </c>
      <c r="J38" s="3">
        <f>SUM(D38:I38)</f>
        <v>0</v>
      </c>
      <c r="K38" s="3" t="str">
        <f>IF(AND(J38=0,MIN(D38:I38)&gt;=-15,MAX(D38:I38)&lt;=15),"PASS","FAIL")</f>
        <v>PASS</v>
      </c>
      <c r="L38" s="3" t="s">
        <v>2035</v>
      </c>
      <c r="M38" s="3" t="s">
        <v>2036</v>
      </c>
      <c r="N38" s="3" t="s">
        <v>2037</v>
      </c>
      <c r="O38" s="3" t="s">
        <v>1437</v>
      </c>
      <c r="P38" s="3" t="s">
        <v>2038</v>
      </c>
      <c r="Q38" s="3" t="s">
        <v>1992</v>
      </c>
      <c r="R38" s="3" t="s">
        <v>670</v>
      </c>
      <c r="S38" s="3" t="s">
        <v>1974</v>
      </c>
      <c r="T38" s="3" t="s">
        <v>2033</v>
      </c>
      <c r="U38" s="3" t="s">
        <v>1517</v>
      </c>
      <c r="V38" s="3" t="s">
        <v>1518</v>
      </c>
      <c r="W38" s="3" t="s">
        <v>1207</v>
      </c>
      <c r="X38" s="3" t="s">
        <v>1208</v>
      </c>
      <c r="Y38" s="3" t="s">
        <v>1379</v>
      </c>
      <c r="Z38" s="3" t="s">
        <v>1380</v>
      </c>
      <c r="AA38" s="3">
        <v>1</v>
      </c>
      <c r="AB38" s="3" t="s">
        <v>1975</v>
      </c>
      <c r="AC38" s="3" t="s">
        <v>1976</v>
      </c>
      <c r="AD38" s="3" t="s">
        <v>1449</v>
      </c>
      <c r="AE38" s="3" t="s">
        <v>1192</v>
      </c>
      <c r="AF38" s="3" t="str">
        <f>IF(AND(K38="PASS",AA38=1,COUNTA(U38:Z38)=6),"OK","CHECK")</f>
        <v>OK</v>
      </c>
      <c r="AG38" s="3" t="s">
        <v>1977</v>
      </c>
    </row>
    <row r="39" spans="1:33" ht="36" customHeight="1">
      <c r="A39" s="2" t="s">
        <v>2039</v>
      </c>
      <c r="B39" s="2" t="s">
        <v>2040</v>
      </c>
      <c r="C39" s="2" t="s">
        <v>2041</v>
      </c>
      <c r="D39" s="2">
        <v>-10</v>
      </c>
      <c r="E39" s="2">
        <v>10</v>
      </c>
      <c r="F39" s="2">
        <v>-5</v>
      </c>
      <c r="G39" s="2">
        <v>-15</v>
      </c>
      <c r="H39" s="2">
        <v>5</v>
      </c>
      <c r="I39" s="2">
        <v>15</v>
      </c>
      <c r="J39" s="2">
        <f>SUM(D39:I39)</f>
        <v>0</v>
      </c>
      <c r="K39" s="2" t="str">
        <f>IF(AND(J39=0,MIN(D39:I39)&gt;=-15,MAX(D39:I39)&lt;=15),"PASS","FAIL")</f>
        <v>PASS</v>
      </c>
      <c r="L39" s="2" t="s">
        <v>2042</v>
      </c>
      <c r="M39" s="2" t="s">
        <v>2043</v>
      </c>
      <c r="N39" s="2" t="s">
        <v>2044</v>
      </c>
      <c r="O39" s="2" t="s">
        <v>1437</v>
      </c>
      <c r="P39" s="2" t="s">
        <v>2038</v>
      </c>
      <c r="Q39" s="2" t="s">
        <v>1992</v>
      </c>
      <c r="R39" s="2" t="s">
        <v>670</v>
      </c>
      <c r="S39" s="2" t="s">
        <v>1974</v>
      </c>
      <c r="T39" s="2" t="s">
        <v>2040</v>
      </c>
      <c r="U39" s="2" t="s">
        <v>1525</v>
      </c>
      <c r="V39" s="2" t="s">
        <v>1526</v>
      </c>
      <c r="W39" s="2" t="s">
        <v>1292</v>
      </c>
      <c r="X39" s="2" t="s">
        <v>1293</v>
      </c>
      <c r="Y39" s="2" t="s">
        <v>1304</v>
      </c>
      <c r="Z39" s="2" t="s">
        <v>1305</v>
      </c>
      <c r="AA39" s="2">
        <v>1</v>
      </c>
      <c r="AB39" s="2" t="s">
        <v>1975</v>
      </c>
      <c r="AC39" s="2" t="s">
        <v>1976</v>
      </c>
      <c r="AD39" s="2" t="s">
        <v>1449</v>
      </c>
      <c r="AE39" s="2" t="s">
        <v>1192</v>
      </c>
      <c r="AF39" s="2" t="str">
        <f>IF(AND(K39="PASS",AA39=1,COUNTA(U39:Z39)=6),"OK","CHECK")</f>
        <v>OK</v>
      </c>
      <c r="AG39" s="2" t="s">
        <v>1977</v>
      </c>
    </row>
    <row r="40" spans="1:33" ht="36" customHeight="1">
      <c r="A40" s="3" t="s">
        <v>2045</v>
      </c>
      <c r="B40" s="3" t="s">
        <v>2046</v>
      </c>
      <c r="C40" s="3" t="s">
        <v>2047</v>
      </c>
      <c r="D40" s="3">
        <v>-10</v>
      </c>
      <c r="E40" s="3">
        <v>10</v>
      </c>
      <c r="F40" s="3">
        <v>-10</v>
      </c>
      <c r="G40" s="3">
        <v>-10</v>
      </c>
      <c r="H40" s="3">
        <v>10</v>
      </c>
      <c r="I40" s="3">
        <v>10</v>
      </c>
      <c r="J40" s="3">
        <f>SUM(D40:I40)</f>
        <v>0</v>
      </c>
      <c r="K40" s="3" t="str">
        <f>IF(AND(J40=0,MIN(D40:I40)&gt;=-15,MAX(D40:I40)&lt;=15),"PASS","FAIL")</f>
        <v>PASS</v>
      </c>
      <c r="L40" s="3" t="s">
        <v>2048</v>
      </c>
      <c r="M40" s="3" t="s">
        <v>2049</v>
      </c>
      <c r="N40" s="3" t="s">
        <v>2050</v>
      </c>
      <c r="O40" s="3" t="s">
        <v>2051</v>
      </c>
      <c r="P40" s="3" t="s">
        <v>2052</v>
      </c>
      <c r="Q40" s="3" t="s">
        <v>2053</v>
      </c>
      <c r="R40" s="3" t="s">
        <v>2054</v>
      </c>
      <c r="S40" s="3" t="s">
        <v>1974</v>
      </c>
      <c r="T40" s="3" t="s">
        <v>2046</v>
      </c>
      <c r="U40" s="3" t="s">
        <v>1425</v>
      </c>
      <c r="V40" s="3" t="s">
        <v>1125</v>
      </c>
      <c r="W40" s="3" t="s">
        <v>1531</v>
      </c>
      <c r="X40" s="3" t="s">
        <v>1532</v>
      </c>
      <c r="Y40" s="3" t="s">
        <v>1419</v>
      </c>
      <c r="Z40" s="3" t="s">
        <v>1420</v>
      </c>
      <c r="AA40" s="3">
        <v>1</v>
      </c>
      <c r="AB40" s="3" t="s">
        <v>1975</v>
      </c>
      <c r="AC40" s="3" t="s">
        <v>1976</v>
      </c>
      <c r="AD40" s="3" t="s">
        <v>1449</v>
      </c>
      <c r="AE40" s="3" t="s">
        <v>1192</v>
      </c>
      <c r="AF40" s="3" t="str">
        <f>IF(AND(K40="PASS",AA40=1,COUNTA(U40:Z40)=6),"OK","CHECK")</f>
        <v>OK</v>
      </c>
      <c r="AG40" s="3" t="s">
        <v>1977</v>
      </c>
    </row>
    <row r="41" spans="1:33" ht="36" customHeight="1">
      <c r="A41" s="2" t="s">
        <v>2055</v>
      </c>
      <c r="B41" s="2" t="s">
        <v>2056</v>
      </c>
      <c r="C41" s="2" t="s">
        <v>2057</v>
      </c>
      <c r="D41" s="2">
        <v>5</v>
      </c>
      <c r="E41" s="2">
        <v>10</v>
      </c>
      <c r="F41" s="2">
        <v>-10</v>
      </c>
      <c r="G41" s="2">
        <v>-10</v>
      </c>
      <c r="H41" s="2">
        <v>10</v>
      </c>
      <c r="I41" s="2">
        <v>-5</v>
      </c>
      <c r="J41" s="2">
        <f>SUM(D41:I41)</f>
        <v>0</v>
      </c>
      <c r="K41" s="2" t="str">
        <f>IF(AND(J41=0,MIN(D41:I41)&gt;=-15,MAX(D41:I41)&lt;=15),"PASS","FAIL")</f>
        <v>PASS</v>
      </c>
      <c r="L41" s="2" t="s">
        <v>2058</v>
      </c>
      <c r="M41" s="2" t="s">
        <v>2059</v>
      </c>
      <c r="N41" s="2" t="s">
        <v>2060</v>
      </c>
      <c r="O41" s="2" t="s">
        <v>1437</v>
      </c>
      <c r="P41" s="2" t="s">
        <v>754</v>
      </c>
      <c r="Q41" s="2" t="s">
        <v>2061</v>
      </c>
      <c r="R41" s="2" t="s">
        <v>670</v>
      </c>
      <c r="S41" s="2" t="s">
        <v>1974</v>
      </c>
      <c r="T41" s="2" t="s">
        <v>2056</v>
      </c>
      <c r="U41" s="2" t="s">
        <v>1538</v>
      </c>
      <c r="V41" s="2" t="s">
        <v>1539</v>
      </c>
      <c r="W41" s="2" t="s">
        <v>1414</v>
      </c>
      <c r="X41" s="2" t="s">
        <v>1415</v>
      </c>
      <c r="Y41" s="2" t="s">
        <v>1391</v>
      </c>
      <c r="Z41" s="2" t="s">
        <v>1392</v>
      </c>
      <c r="AA41" s="2">
        <v>1</v>
      </c>
      <c r="AB41" s="2" t="s">
        <v>1975</v>
      </c>
      <c r="AC41" s="2" t="s">
        <v>1976</v>
      </c>
      <c r="AD41" s="2" t="s">
        <v>1449</v>
      </c>
      <c r="AE41" s="2" t="s">
        <v>1192</v>
      </c>
      <c r="AF41" s="2" t="str">
        <f>IF(AND(K41="PASS",AA41=1,COUNTA(U41:Z41)=6),"OK","CHECK")</f>
        <v>OK</v>
      </c>
      <c r="AG41" s="2" t="s">
        <v>1977</v>
      </c>
    </row>
    <row r="42" spans="1:33" ht="36" customHeight="1">
      <c r="A42" s="3" t="s">
        <v>2062</v>
      </c>
      <c r="B42" s="3" t="s">
        <v>2063</v>
      </c>
      <c r="C42" s="3" t="s">
        <v>2064</v>
      </c>
      <c r="D42" s="3">
        <v>10</v>
      </c>
      <c r="E42" s="3">
        <v>10</v>
      </c>
      <c r="F42" s="3">
        <v>-10</v>
      </c>
      <c r="G42" s="3">
        <v>-10</v>
      </c>
      <c r="H42" s="3">
        <v>5</v>
      </c>
      <c r="I42" s="3">
        <v>-5</v>
      </c>
      <c r="J42" s="3">
        <f>SUM(D42:I42)</f>
        <v>0</v>
      </c>
      <c r="K42" s="3" t="str">
        <f>IF(AND(J42=0,MIN(D42:I42)&gt;=-15,MAX(D42:I42)&lt;=15),"PASS","FAIL")</f>
        <v>PASS</v>
      </c>
      <c r="L42" s="3" t="s">
        <v>2065</v>
      </c>
      <c r="M42" s="3" t="s">
        <v>2066</v>
      </c>
      <c r="N42" s="3" t="s">
        <v>2067</v>
      </c>
      <c r="O42" s="3" t="s">
        <v>2068</v>
      </c>
      <c r="P42" s="3" t="s">
        <v>754</v>
      </c>
      <c r="Q42" s="3" t="s">
        <v>2000</v>
      </c>
      <c r="R42" s="3" t="s">
        <v>2069</v>
      </c>
      <c r="S42" s="3" t="s">
        <v>1974</v>
      </c>
      <c r="T42" s="3" t="s">
        <v>2063</v>
      </c>
      <c r="U42" s="3" t="s">
        <v>1550</v>
      </c>
      <c r="V42" s="3" t="s">
        <v>1551</v>
      </c>
      <c r="W42" s="3" t="s">
        <v>1400</v>
      </c>
      <c r="X42" s="3" t="s">
        <v>1401</v>
      </c>
      <c r="Y42" s="3" t="s">
        <v>1563</v>
      </c>
      <c r="Z42" s="3" t="s">
        <v>1564</v>
      </c>
      <c r="AA42" s="3">
        <v>1</v>
      </c>
      <c r="AB42" s="3" t="s">
        <v>1975</v>
      </c>
      <c r="AC42" s="3" t="s">
        <v>1976</v>
      </c>
      <c r="AD42" s="3" t="s">
        <v>1449</v>
      </c>
      <c r="AE42" s="3" t="s">
        <v>1192</v>
      </c>
      <c r="AF42" s="3" t="str">
        <f>IF(AND(K42="PASS",AA42=1,COUNTA(U42:Z42)=6),"OK","CHECK")</f>
        <v>OK</v>
      </c>
      <c r="AG42" s="3" t="s">
        <v>1977</v>
      </c>
    </row>
    <row r="43" spans="1:33" ht="36" customHeight="1">
      <c r="A43" s="2" t="s">
        <v>2070</v>
      </c>
      <c r="B43" s="2" t="s">
        <v>2071</v>
      </c>
      <c r="C43" s="2" t="s">
        <v>2072</v>
      </c>
      <c r="D43" s="2">
        <v>15</v>
      </c>
      <c r="E43" s="2">
        <v>-10</v>
      </c>
      <c r="F43" s="2">
        <v>-10</v>
      </c>
      <c r="G43" s="2">
        <v>10</v>
      </c>
      <c r="H43" s="2">
        <v>0</v>
      </c>
      <c r="I43" s="2">
        <v>-5</v>
      </c>
      <c r="J43" s="2">
        <f>SUM(D43:I43)</f>
        <v>0</v>
      </c>
      <c r="K43" s="2" t="str">
        <f>IF(AND(J43=0,MIN(D43:I43)&gt;=-15,MAX(D43:I43)&lt;=15),"PASS","FAIL")</f>
        <v>PASS</v>
      </c>
      <c r="L43" s="2" t="s">
        <v>2073</v>
      </c>
      <c r="M43" s="2" t="s">
        <v>2074</v>
      </c>
      <c r="N43" s="2" t="s">
        <v>2075</v>
      </c>
      <c r="O43" s="2" t="s">
        <v>1437</v>
      </c>
      <c r="P43" s="2" t="s">
        <v>754</v>
      </c>
      <c r="Q43" s="2" t="s">
        <v>2061</v>
      </c>
      <c r="R43" s="2" t="s">
        <v>670</v>
      </c>
      <c r="S43" s="2" t="s">
        <v>1974</v>
      </c>
      <c r="T43" s="2" t="s">
        <v>2071</v>
      </c>
      <c r="U43" s="2" t="s">
        <v>1572</v>
      </c>
      <c r="V43" s="2" t="s">
        <v>1573</v>
      </c>
      <c r="W43" s="2" t="s">
        <v>1324</v>
      </c>
      <c r="X43" s="2" t="s">
        <v>1325</v>
      </c>
      <c r="Y43" s="2" t="s">
        <v>1334</v>
      </c>
      <c r="Z43" s="2" t="s">
        <v>1335</v>
      </c>
      <c r="AA43" s="2">
        <v>1</v>
      </c>
      <c r="AB43" s="2" t="s">
        <v>1975</v>
      </c>
      <c r="AC43" s="2" t="s">
        <v>1976</v>
      </c>
      <c r="AD43" s="2" t="s">
        <v>1449</v>
      </c>
      <c r="AE43" s="2" t="s">
        <v>1192</v>
      </c>
      <c r="AF43" s="2" t="str">
        <f>IF(AND(K43="PASS",AA43=1,COUNTA(U43:Z43)=6),"OK","CHECK")</f>
        <v>OK</v>
      </c>
      <c r="AG43" s="2" t="s">
        <v>1977</v>
      </c>
    </row>
    <row r="44" spans="1:33" ht="36" customHeight="1">
      <c r="A44" s="3" t="s">
        <v>2076</v>
      </c>
      <c r="B44" s="3" t="s">
        <v>2077</v>
      </c>
      <c r="C44" s="3" t="s">
        <v>2078</v>
      </c>
      <c r="D44" s="3">
        <v>-10</v>
      </c>
      <c r="E44" s="3">
        <v>-10</v>
      </c>
      <c r="F44" s="3">
        <v>15</v>
      </c>
      <c r="G44" s="3">
        <v>5</v>
      </c>
      <c r="H44" s="3">
        <v>5</v>
      </c>
      <c r="I44" s="3">
        <v>-5</v>
      </c>
      <c r="J44" s="3">
        <f>SUM(D44:I44)</f>
        <v>0</v>
      </c>
      <c r="K44" s="3" t="str">
        <f>IF(AND(J44=0,MIN(D44:I44)&gt;=-15,MAX(D44:I44)&lt;=15),"PASS","FAIL")</f>
        <v>PASS</v>
      </c>
      <c r="L44" s="3" t="s">
        <v>2079</v>
      </c>
      <c r="M44" s="3" t="s">
        <v>2080</v>
      </c>
      <c r="N44" s="3" t="s">
        <v>2081</v>
      </c>
      <c r="O44" s="3" t="s">
        <v>2082</v>
      </c>
      <c r="P44" s="3" t="s">
        <v>2083</v>
      </c>
      <c r="Q44" s="3" t="s">
        <v>2084</v>
      </c>
      <c r="R44" s="3" t="s">
        <v>2085</v>
      </c>
      <c r="S44" s="3" t="s">
        <v>1974</v>
      </c>
      <c r="T44" s="3" t="s">
        <v>2077</v>
      </c>
      <c r="U44" s="3" t="s">
        <v>1581</v>
      </c>
      <c r="V44" s="3" t="s">
        <v>1582</v>
      </c>
      <c r="W44" s="3" t="s">
        <v>1594</v>
      </c>
      <c r="X44" s="3" t="s">
        <v>1595</v>
      </c>
      <c r="Y44" s="3" t="s">
        <v>1599</v>
      </c>
      <c r="Z44" s="3" t="s">
        <v>1600</v>
      </c>
      <c r="AA44" s="3">
        <v>1</v>
      </c>
      <c r="AB44" s="3" t="s">
        <v>1975</v>
      </c>
      <c r="AC44" s="3" t="s">
        <v>1976</v>
      </c>
      <c r="AD44" s="3" t="s">
        <v>1449</v>
      </c>
      <c r="AE44" s="3" t="s">
        <v>1192</v>
      </c>
      <c r="AF44" s="3" t="str">
        <f>IF(AND(K44="PASS",AA44=1,COUNTA(U44:Z44)=6),"OK","CHECK")</f>
        <v>OK</v>
      </c>
      <c r="AG44" s="3" t="s">
        <v>1977</v>
      </c>
    </row>
  </sheetData>
  <mergeCells count="4">
    <mergeCell ref="A1:H1"/>
    <mergeCell ref="A2:H2"/>
    <mergeCell ref="A4:C4"/>
    <mergeCell ref="A26:AG26"/>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40"/>
  <sheetViews>
    <sheetView showGridLines="0" zoomScaleNormal="100" workbookViewId="0">
      <pane ySplit="4" topLeftCell="A5" activePane="bottomLeft" state="frozen"/>
      <selection pane="bottomLeft"/>
    </sheetView>
  </sheetViews>
  <sheetFormatPr defaultColWidth="8.7109375" defaultRowHeight="15"/>
  <cols>
    <col min="1" max="1" width="30" customWidth="1"/>
    <col min="2" max="3" width="44" customWidth="1"/>
    <col min="4" max="8" width="24" customWidth="1"/>
    <col min="9" max="18" width="28" customWidth="1"/>
  </cols>
  <sheetData>
    <row r="1" spans="1:18" ht="27.75" customHeight="1">
      <c r="A1" s="12" t="s">
        <v>23</v>
      </c>
      <c r="B1" s="12"/>
      <c r="C1" s="12"/>
      <c r="D1" s="12"/>
      <c r="E1" s="12"/>
      <c r="F1" s="12"/>
      <c r="G1" s="12"/>
      <c r="H1" s="12"/>
    </row>
    <row r="2" spans="1:18" ht="33.75" customHeight="1">
      <c r="A2" s="13" t="s">
        <v>24</v>
      </c>
      <c r="B2" s="13"/>
      <c r="C2" s="13"/>
      <c r="D2" s="13"/>
      <c r="E2" s="13"/>
      <c r="F2" s="13"/>
      <c r="G2" s="13"/>
      <c r="H2" s="13"/>
    </row>
    <row r="4" spans="1:18" ht="22.5" customHeight="1">
      <c r="A4" s="11" t="s">
        <v>2086</v>
      </c>
      <c r="B4" s="11"/>
      <c r="C4" s="11"/>
    </row>
    <row r="5" spans="1:18" ht="36" customHeight="1">
      <c r="A5" s="4" t="s">
        <v>2087</v>
      </c>
    </row>
    <row r="6" spans="1:18" ht="36" customHeight="1">
      <c r="A6" s="3" t="s">
        <v>2088</v>
      </c>
    </row>
    <row r="7" spans="1:18" ht="36" customHeight="1">
      <c r="A7" s="2" t="s">
        <v>2089</v>
      </c>
      <c r="B7" s="2" t="s">
        <v>2090</v>
      </c>
      <c r="C7" s="2" t="s">
        <v>2091</v>
      </c>
    </row>
    <row r="8" spans="1:18" ht="36" customHeight="1">
      <c r="A8" s="3" t="s">
        <v>667</v>
      </c>
      <c r="B8" s="3" t="s">
        <v>2092</v>
      </c>
      <c r="C8" s="3" t="s">
        <v>2093</v>
      </c>
    </row>
    <row r="9" spans="1:18" ht="36" customHeight="1">
      <c r="A9" s="2" t="s">
        <v>2094</v>
      </c>
      <c r="B9" s="2" t="s">
        <v>2095</v>
      </c>
      <c r="C9" s="2" t="s">
        <v>2096</v>
      </c>
    </row>
    <row r="10" spans="1:18" ht="36" customHeight="1">
      <c r="A10" s="3" t="s">
        <v>2097</v>
      </c>
      <c r="B10" s="3" t="s">
        <v>2098</v>
      </c>
      <c r="C10" s="3" t="s">
        <v>2099</v>
      </c>
    </row>
    <row r="11" spans="1:18" ht="36" customHeight="1">
      <c r="A11" s="2" t="s">
        <v>2100</v>
      </c>
      <c r="B11" s="2" t="s">
        <v>2101</v>
      </c>
      <c r="C11" s="2" t="s">
        <v>2102</v>
      </c>
    </row>
    <row r="12" spans="1:18" ht="36" customHeight="1">
      <c r="A12" s="3" t="s">
        <v>2103</v>
      </c>
      <c r="B12" s="3" t="s">
        <v>2104</v>
      </c>
      <c r="C12" s="3" t="s">
        <v>2105</v>
      </c>
    </row>
    <row r="14" spans="1:18" ht="22.5" customHeight="1">
      <c r="A14" s="11" t="s">
        <v>2106</v>
      </c>
      <c r="B14" s="11"/>
      <c r="C14" s="11"/>
      <c r="D14" s="11"/>
      <c r="E14" s="11"/>
      <c r="F14" s="11"/>
      <c r="G14" s="11"/>
      <c r="H14" s="11"/>
      <c r="I14" s="11"/>
      <c r="J14" s="11"/>
      <c r="K14" s="11"/>
      <c r="L14" s="11"/>
      <c r="M14" s="11"/>
      <c r="N14" s="11"/>
      <c r="O14" s="11"/>
      <c r="P14" s="11"/>
      <c r="Q14" s="11"/>
      <c r="R14" s="11"/>
    </row>
    <row r="15" spans="1:18" ht="36" customHeight="1">
      <c r="A15" s="4" t="s">
        <v>2107</v>
      </c>
    </row>
    <row r="16" spans="1:18" ht="36" customHeight="1">
      <c r="A16" s="3" t="s">
        <v>2108</v>
      </c>
    </row>
    <row r="17" spans="1:18" ht="36" customHeight="1">
      <c r="A17" s="2" t="s">
        <v>2109</v>
      </c>
      <c r="B17" s="2" t="s">
        <v>1127</v>
      </c>
      <c r="C17" s="2" t="s">
        <v>2110</v>
      </c>
      <c r="D17" s="2" t="s">
        <v>2111</v>
      </c>
      <c r="E17" s="2" t="s">
        <v>2112</v>
      </c>
      <c r="F17" s="2" t="s">
        <v>2113</v>
      </c>
      <c r="G17" s="2" t="s">
        <v>2114</v>
      </c>
      <c r="H17" s="2" t="s">
        <v>2115</v>
      </c>
      <c r="I17" s="2" t="s">
        <v>2116</v>
      </c>
      <c r="J17" s="2" t="s">
        <v>2117</v>
      </c>
      <c r="K17" s="2" t="s">
        <v>2118</v>
      </c>
      <c r="L17" s="2" t="s">
        <v>2119</v>
      </c>
      <c r="M17" s="2" t="s">
        <v>2120</v>
      </c>
      <c r="N17" s="2" t="s">
        <v>2121</v>
      </c>
      <c r="O17" s="2" t="s">
        <v>2122</v>
      </c>
      <c r="P17" s="2" t="s">
        <v>2123</v>
      </c>
      <c r="Q17" s="2" t="s">
        <v>2124</v>
      </c>
      <c r="R17" s="2" t="s">
        <v>1629</v>
      </c>
    </row>
    <row r="18" spans="1:18" ht="36" customHeight="1">
      <c r="A18" s="3" t="s">
        <v>2125</v>
      </c>
      <c r="B18" s="3" t="s">
        <v>670</v>
      </c>
      <c r="C18" s="3">
        <v>1</v>
      </c>
      <c r="D18" s="3">
        <v>1</v>
      </c>
      <c r="E18" s="3">
        <v>1</v>
      </c>
      <c r="F18" s="3">
        <v>2</v>
      </c>
      <c r="G18" s="3">
        <v>1</v>
      </c>
      <c r="H18" s="3">
        <v>2</v>
      </c>
      <c r="I18" s="3">
        <f>SUM(C18:H18)</f>
        <v>8</v>
      </c>
      <c r="J18" s="3">
        <v>0.33</v>
      </c>
      <c r="K18" s="3">
        <v>0.33</v>
      </c>
      <c r="L18" s="3">
        <v>0.33</v>
      </c>
      <c r="M18" s="3">
        <v>0.34</v>
      </c>
      <c r="N18" s="3">
        <v>0.33</v>
      </c>
      <c r="O18" s="3">
        <v>0.34</v>
      </c>
      <c r="P18" s="3">
        <f>ROUND(SUM(J18:O18),2)</f>
        <v>2</v>
      </c>
      <c r="Q18" s="3" t="s">
        <v>2126</v>
      </c>
      <c r="R18" s="3" t="s">
        <v>2127</v>
      </c>
    </row>
    <row r="19" spans="1:18" ht="36" customHeight="1">
      <c r="A19" s="2" t="s">
        <v>2128</v>
      </c>
      <c r="B19" s="2" t="s">
        <v>670</v>
      </c>
      <c r="C19" s="2">
        <v>0</v>
      </c>
      <c r="D19" s="2">
        <v>1</v>
      </c>
      <c r="E19" s="2">
        <v>3</v>
      </c>
      <c r="F19" s="2">
        <v>1</v>
      </c>
      <c r="G19" s="2">
        <v>2</v>
      </c>
      <c r="H19" s="2">
        <v>1</v>
      </c>
      <c r="I19" s="2">
        <f>SUM(C19:H19)</f>
        <v>8</v>
      </c>
      <c r="J19" s="2">
        <v>0.1</v>
      </c>
      <c r="K19" s="2">
        <v>0.3</v>
      </c>
      <c r="L19" s="2">
        <v>1</v>
      </c>
      <c r="M19" s="2">
        <v>0.15</v>
      </c>
      <c r="N19" s="2">
        <v>0.3</v>
      </c>
      <c r="O19" s="2">
        <v>0.15</v>
      </c>
      <c r="P19" s="2">
        <f>ROUND(SUM(J19:O19),2)</f>
        <v>2</v>
      </c>
      <c r="Q19" s="2" t="s">
        <v>2129</v>
      </c>
      <c r="R19" s="2" t="s">
        <v>2130</v>
      </c>
    </row>
    <row r="20" spans="1:18" ht="36" customHeight="1">
      <c r="A20" s="3" t="s">
        <v>2131</v>
      </c>
      <c r="B20" s="3" t="s">
        <v>670</v>
      </c>
      <c r="C20" s="3">
        <v>2</v>
      </c>
      <c r="D20" s="3">
        <v>0</v>
      </c>
      <c r="E20" s="3">
        <v>0</v>
      </c>
      <c r="F20" s="3">
        <v>3</v>
      </c>
      <c r="G20" s="3">
        <v>2</v>
      </c>
      <c r="H20" s="3">
        <v>1</v>
      </c>
      <c r="I20" s="3">
        <f>SUM(C20:H20)</f>
        <v>8</v>
      </c>
      <c r="J20" s="3">
        <v>0.45</v>
      </c>
      <c r="K20" s="3">
        <v>0.1</v>
      </c>
      <c r="L20" s="3">
        <v>0.1</v>
      </c>
      <c r="M20" s="3">
        <v>1</v>
      </c>
      <c r="N20" s="3">
        <v>0.25</v>
      </c>
      <c r="O20" s="3">
        <v>0.1</v>
      </c>
      <c r="P20" s="3">
        <f>ROUND(SUM(J20:O20),2)</f>
        <v>2</v>
      </c>
      <c r="Q20" s="3" t="s">
        <v>2132</v>
      </c>
      <c r="R20" s="3" t="s">
        <v>2133</v>
      </c>
    </row>
    <row r="21" spans="1:18" ht="36" customHeight="1">
      <c r="A21" s="2" t="s">
        <v>2134</v>
      </c>
      <c r="B21" s="2" t="s">
        <v>670</v>
      </c>
      <c r="C21" s="2">
        <v>3</v>
      </c>
      <c r="D21" s="2">
        <v>1</v>
      </c>
      <c r="E21" s="2">
        <v>0</v>
      </c>
      <c r="F21" s="2">
        <v>3</v>
      </c>
      <c r="G21" s="2">
        <v>0</v>
      </c>
      <c r="H21" s="2">
        <v>1</v>
      </c>
      <c r="I21" s="2">
        <f>SUM(C21:H21)</f>
        <v>8</v>
      </c>
      <c r="J21" s="2">
        <v>1</v>
      </c>
      <c r="K21" s="2">
        <v>0.2</v>
      </c>
      <c r="L21" s="2">
        <v>0.1</v>
      </c>
      <c r="M21" s="2">
        <v>0.5</v>
      </c>
      <c r="N21" s="2">
        <v>0.1</v>
      </c>
      <c r="O21" s="2">
        <v>0.1</v>
      </c>
      <c r="P21" s="2">
        <f>ROUND(SUM(J21:O21),2)</f>
        <v>2</v>
      </c>
      <c r="Q21" s="2" t="s">
        <v>2135</v>
      </c>
      <c r="R21" s="2" t="s">
        <v>2136</v>
      </c>
    </row>
    <row r="22" spans="1:18" ht="36" customHeight="1">
      <c r="A22" s="3" t="s">
        <v>2137</v>
      </c>
      <c r="B22" s="3" t="s">
        <v>670</v>
      </c>
      <c r="C22" s="3">
        <v>1</v>
      </c>
      <c r="D22" s="3">
        <v>2</v>
      </c>
      <c r="E22" s="3">
        <v>1</v>
      </c>
      <c r="F22" s="3">
        <v>1</v>
      </c>
      <c r="G22" s="3">
        <v>2</v>
      </c>
      <c r="H22" s="3">
        <v>1</v>
      </c>
      <c r="I22" s="3">
        <f>SUM(C22:H22)</f>
        <v>8</v>
      </c>
      <c r="J22" s="3">
        <v>0.2</v>
      </c>
      <c r="K22" s="3">
        <v>0.5</v>
      </c>
      <c r="L22" s="3">
        <v>0.2</v>
      </c>
      <c r="M22" s="3">
        <v>0.2</v>
      </c>
      <c r="N22" s="3">
        <v>0.6</v>
      </c>
      <c r="O22" s="3">
        <v>0.3</v>
      </c>
      <c r="P22" s="3">
        <f>ROUND(SUM(J22:O22),2)</f>
        <v>2</v>
      </c>
      <c r="Q22" s="3" t="s">
        <v>2138</v>
      </c>
      <c r="R22" s="3" t="s">
        <v>2139</v>
      </c>
    </row>
    <row r="23" spans="1:18" ht="36" customHeight="1">
      <c r="A23" s="2" t="s">
        <v>2140</v>
      </c>
      <c r="B23" s="2" t="s">
        <v>2097</v>
      </c>
      <c r="C23" s="2">
        <v>0</v>
      </c>
      <c r="D23" s="2">
        <v>1</v>
      </c>
      <c r="E23" s="2">
        <v>3</v>
      </c>
      <c r="F23" s="2">
        <v>1</v>
      </c>
      <c r="G23" s="2">
        <v>1</v>
      </c>
      <c r="H23" s="2">
        <v>2</v>
      </c>
      <c r="I23" s="2">
        <f>SUM(C23:H23)</f>
        <v>8</v>
      </c>
      <c r="J23" s="2">
        <v>0.1</v>
      </c>
      <c r="K23" s="2">
        <v>0.25</v>
      </c>
      <c r="L23" s="2">
        <v>0.9</v>
      </c>
      <c r="M23" s="2">
        <v>0.2</v>
      </c>
      <c r="N23" s="2">
        <v>0.15</v>
      </c>
      <c r="O23" s="2">
        <v>0.4</v>
      </c>
      <c r="P23" s="2">
        <f>ROUND(SUM(J23:O23),2)</f>
        <v>2</v>
      </c>
      <c r="Q23" s="2" t="s">
        <v>2141</v>
      </c>
      <c r="R23" s="2" t="s">
        <v>2142</v>
      </c>
    </row>
    <row r="24" spans="1:18" ht="36" customHeight="1">
      <c r="A24" s="3" t="s">
        <v>2143</v>
      </c>
      <c r="B24" s="3" t="s">
        <v>2100</v>
      </c>
      <c r="C24" s="3">
        <v>0</v>
      </c>
      <c r="D24" s="3">
        <v>2</v>
      </c>
      <c r="E24" s="3">
        <v>2</v>
      </c>
      <c r="F24" s="3">
        <v>0</v>
      </c>
      <c r="G24" s="3">
        <v>2</v>
      </c>
      <c r="H24" s="3">
        <v>2</v>
      </c>
      <c r="I24" s="3">
        <f>SUM(C24:H24)</f>
        <v>8</v>
      </c>
      <c r="J24" s="3">
        <v>0.1</v>
      </c>
      <c r="K24" s="3">
        <v>0.6</v>
      </c>
      <c r="L24" s="3">
        <v>0.5</v>
      </c>
      <c r="M24" s="3">
        <v>0.1</v>
      </c>
      <c r="N24" s="3">
        <v>0.4</v>
      </c>
      <c r="O24" s="3">
        <v>0.3</v>
      </c>
      <c r="P24" s="3">
        <f>ROUND(SUM(J24:O24),2)</f>
        <v>2</v>
      </c>
      <c r="Q24" s="3" t="s">
        <v>2144</v>
      </c>
      <c r="R24" s="3" t="s">
        <v>2145</v>
      </c>
    </row>
    <row r="25" spans="1:18" ht="36" customHeight="1">
      <c r="A25" s="2" t="s">
        <v>2146</v>
      </c>
      <c r="B25" s="2" t="s">
        <v>667</v>
      </c>
      <c r="C25" s="2">
        <v>2</v>
      </c>
      <c r="D25" s="2">
        <v>0</v>
      </c>
      <c r="E25" s="2">
        <v>0</v>
      </c>
      <c r="F25" s="2">
        <v>3</v>
      </c>
      <c r="G25" s="2">
        <v>0</v>
      </c>
      <c r="H25" s="2">
        <v>3</v>
      </c>
      <c r="I25" s="2">
        <f>SUM(C25:H25)</f>
        <v>8</v>
      </c>
      <c r="J25" s="2">
        <v>0.4</v>
      </c>
      <c r="K25" s="2">
        <v>0.1</v>
      </c>
      <c r="L25" s="2">
        <v>0.1</v>
      </c>
      <c r="M25" s="2">
        <v>1</v>
      </c>
      <c r="N25" s="2">
        <v>0.1</v>
      </c>
      <c r="O25" s="2">
        <v>0.3</v>
      </c>
      <c r="P25" s="2">
        <f>ROUND(SUM(J25:O25),2)</f>
        <v>2</v>
      </c>
      <c r="Q25" s="2" t="s">
        <v>2147</v>
      </c>
      <c r="R25" s="2" t="s">
        <v>2148</v>
      </c>
    </row>
    <row r="26" spans="1:18" ht="36" customHeight="1">
      <c r="A26" s="3" t="s">
        <v>2149</v>
      </c>
      <c r="B26" s="3" t="s">
        <v>2094</v>
      </c>
      <c r="C26" s="3">
        <v>2</v>
      </c>
      <c r="D26" s="3">
        <v>0</v>
      </c>
      <c r="E26" s="3">
        <v>1</v>
      </c>
      <c r="F26" s="3">
        <v>3</v>
      </c>
      <c r="G26" s="3">
        <v>1</v>
      </c>
      <c r="H26" s="3">
        <v>1</v>
      </c>
      <c r="I26" s="3">
        <f>SUM(C26:H26)</f>
        <v>8</v>
      </c>
      <c r="J26" s="3">
        <v>0.4</v>
      </c>
      <c r="K26" s="3">
        <v>0.1</v>
      </c>
      <c r="L26" s="3">
        <v>0.2</v>
      </c>
      <c r="M26" s="3">
        <v>1</v>
      </c>
      <c r="N26" s="3">
        <v>0.2</v>
      </c>
      <c r="O26" s="3">
        <v>0.1</v>
      </c>
      <c r="P26" s="3">
        <f>ROUND(SUM(J26:O26),2)</f>
        <v>2</v>
      </c>
      <c r="Q26" s="3" t="s">
        <v>2150</v>
      </c>
      <c r="R26" s="3" t="s">
        <v>2151</v>
      </c>
    </row>
    <row r="27" spans="1:18" ht="36" customHeight="1">
      <c r="A27" s="2" t="s">
        <v>2152</v>
      </c>
      <c r="B27" s="2" t="s">
        <v>670</v>
      </c>
      <c r="C27" s="2">
        <v>0</v>
      </c>
      <c r="D27" s="2">
        <v>3</v>
      </c>
      <c r="E27" s="2">
        <v>1</v>
      </c>
      <c r="F27" s="2">
        <v>0</v>
      </c>
      <c r="G27" s="2">
        <v>3</v>
      </c>
      <c r="H27" s="2">
        <v>1</v>
      </c>
      <c r="I27" s="2">
        <f>SUM(C27:H27)</f>
        <v>8</v>
      </c>
      <c r="J27" s="2">
        <v>0.1</v>
      </c>
      <c r="K27" s="2">
        <v>0.7</v>
      </c>
      <c r="L27" s="2">
        <v>0.2</v>
      </c>
      <c r="M27" s="2">
        <v>0.1</v>
      </c>
      <c r="N27" s="2">
        <v>0.7</v>
      </c>
      <c r="O27" s="2">
        <v>0.2</v>
      </c>
      <c r="P27" s="2">
        <f>ROUND(SUM(J27:O27),2)</f>
        <v>2</v>
      </c>
      <c r="Q27" s="2" t="s">
        <v>2153</v>
      </c>
      <c r="R27" s="2" t="s">
        <v>2154</v>
      </c>
    </row>
    <row r="28" spans="1:18" ht="36" customHeight="1">
      <c r="A28" s="3" t="s">
        <v>2155</v>
      </c>
      <c r="B28" s="3" t="s">
        <v>667</v>
      </c>
      <c r="C28" s="3">
        <v>2</v>
      </c>
      <c r="D28" s="3">
        <v>1</v>
      </c>
      <c r="E28" s="3">
        <v>2</v>
      </c>
      <c r="F28" s="3">
        <v>1</v>
      </c>
      <c r="G28" s="3">
        <v>1</v>
      </c>
      <c r="H28" s="3">
        <v>1</v>
      </c>
      <c r="I28" s="3">
        <f>SUM(C28:H28)</f>
        <v>8</v>
      </c>
      <c r="J28" s="3">
        <v>0.4</v>
      </c>
      <c r="K28" s="3">
        <v>0.2</v>
      </c>
      <c r="L28" s="3">
        <v>0.4</v>
      </c>
      <c r="M28" s="3">
        <v>0.3</v>
      </c>
      <c r="N28" s="3">
        <v>0.2</v>
      </c>
      <c r="O28" s="3">
        <v>0.5</v>
      </c>
      <c r="P28" s="3">
        <f>ROUND(SUM(J28:O28),2)</f>
        <v>2</v>
      </c>
      <c r="Q28" s="3" t="s">
        <v>2156</v>
      </c>
      <c r="R28" s="3" t="s">
        <v>2157</v>
      </c>
    </row>
    <row r="29" spans="1:18" ht="36" customHeight="1">
      <c r="A29" s="2" t="s">
        <v>2158</v>
      </c>
      <c r="B29" s="2" t="s">
        <v>2094</v>
      </c>
      <c r="C29" s="2">
        <v>1</v>
      </c>
      <c r="D29" s="2">
        <v>1</v>
      </c>
      <c r="E29" s="2">
        <v>2</v>
      </c>
      <c r="F29" s="2">
        <v>2</v>
      </c>
      <c r="G29" s="2">
        <v>2</v>
      </c>
      <c r="H29" s="2">
        <v>0</v>
      </c>
      <c r="I29" s="2">
        <f>SUM(C29:H29)</f>
        <v>8</v>
      </c>
      <c r="J29" s="2">
        <v>0.2</v>
      </c>
      <c r="K29" s="2">
        <v>0.2</v>
      </c>
      <c r="L29" s="2">
        <v>0.5</v>
      </c>
      <c r="M29" s="2">
        <v>0.4</v>
      </c>
      <c r="N29" s="2">
        <v>0.6</v>
      </c>
      <c r="O29" s="2">
        <v>0.1</v>
      </c>
      <c r="P29" s="2">
        <f>ROUND(SUM(J29:O29),2)</f>
        <v>2</v>
      </c>
      <c r="Q29" s="2" t="s">
        <v>2159</v>
      </c>
      <c r="R29" s="2" t="s">
        <v>2160</v>
      </c>
    </row>
    <row r="30" spans="1:18" ht="36" customHeight="1">
      <c r="A30" s="3" t="s">
        <v>2161</v>
      </c>
      <c r="B30" s="3" t="s">
        <v>667</v>
      </c>
      <c r="C30" s="3">
        <v>0</v>
      </c>
      <c r="D30" s="3">
        <v>0</v>
      </c>
      <c r="E30" s="3">
        <v>3</v>
      </c>
      <c r="F30" s="3">
        <v>2</v>
      </c>
      <c r="G30" s="3">
        <v>1</v>
      </c>
      <c r="H30" s="3">
        <v>2</v>
      </c>
      <c r="I30" s="3">
        <f>SUM(C30:H30)</f>
        <v>8</v>
      </c>
      <c r="J30" s="3">
        <v>0.1</v>
      </c>
      <c r="K30" s="3">
        <v>0.1</v>
      </c>
      <c r="L30" s="3">
        <v>1</v>
      </c>
      <c r="M30" s="3">
        <v>0.3</v>
      </c>
      <c r="N30" s="3">
        <v>0.1</v>
      </c>
      <c r="O30" s="3">
        <v>0.4</v>
      </c>
      <c r="P30" s="3">
        <f>ROUND(SUM(J30:O30),2)</f>
        <v>2</v>
      </c>
      <c r="Q30" s="3" t="s">
        <v>2162</v>
      </c>
      <c r="R30" s="3" t="s">
        <v>2163</v>
      </c>
    </row>
    <row r="31" spans="1:18" ht="36" customHeight="1">
      <c r="A31" s="2" t="s">
        <v>2164</v>
      </c>
      <c r="B31" s="2" t="s">
        <v>2100</v>
      </c>
      <c r="C31" s="2">
        <v>0</v>
      </c>
      <c r="D31" s="2">
        <v>2</v>
      </c>
      <c r="E31" s="2">
        <v>3</v>
      </c>
      <c r="F31" s="2">
        <v>0</v>
      </c>
      <c r="G31" s="2">
        <v>1</v>
      </c>
      <c r="H31" s="2">
        <v>2</v>
      </c>
      <c r="I31" s="2">
        <f>SUM(C31:H31)</f>
        <v>8</v>
      </c>
      <c r="J31" s="2">
        <v>0.1</v>
      </c>
      <c r="K31" s="2">
        <v>0.4</v>
      </c>
      <c r="L31" s="2">
        <v>1</v>
      </c>
      <c r="M31" s="2">
        <v>0.1</v>
      </c>
      <c r="N31" s="2">
        <v>0.1</v>
      </c>
      <c r="O31" s="2">
        <v>0.3</v>
      </c>
      <c r="P31" s="2">
        <f>ROUND(SUM(J31:O31),2)</f>
        <v>2</v>
      </c>
      <c r="Q31" s="2" t="s">
        <v>2165</v>
      </c>
      <c r="R31" s="2" t="s">
        <v>2166</v>
      </c>
    </row>
    <row r="32" spans="1:18" ht="36" customHeight="1">
      <c r="A32" s="3" t="s">
        <v>2167</v>
      </c>
      <c r="B32" s="3" t="s">
        <v>2103</v>
      </c>
      <c r="C32" s="3">
        <v>3</v>
      </c>
      <c r="D32" s="3">
        <v>0</v>
      </c>
      <c r="E32" s="3">
        <v>0</v>
      </c>
      <c r="F32" s="3">
        <v>3</v>
      </c>
      <c r="G32" s="3">
        <v>0</v>
      </c>
      <c r="H32" s="3">
        <v>2</v>
      </c>
      <c r="I32" s="3">
        <f>SUM(C32:H32)</f>
        <v>8</v>
      </c>
      <c r="J32" s="3">
        <v>1</v>
      </c>
      <c r="K32" s="3">
        <v>0.1</v>
      </c>
      <c r="L32" s="3">
        <v>0.1</v>
      </c>
      <c r="M32" s="3">
        <v>0.6</v>
      </c>
      <c r="N32" s="3">
        <v>0.1</v>
      </c>
      <c r="O32" s="3">
        <v>0.1</v>
      </c>
      <c r="P32" s="3">
        <f>ROUND(SUM(J32:O32),2)</f>
        <v>2</v>
      </c>
      <c r="Q32" s="3" t="s">
        <v>890</v>
      </c>
      <c r="R32" s="3" t="s">
        <v>2168</v>
      </c>
    </row>
    <row r="34" spans="1:3" ht="22.5" customHeight="1">
      <c r="A34" s="11" t="s">
        <v>2169</v>
      </c>
      <c r="B34" s="11"/>
      <c r="C34" s="11"/>
    </row>
    <row r="35" spans="1:3" ht="36" customHeight="1">
      <c r="A35" s="4" t="s">
        <v>2170</v>
      </c>
    </row>
    <row r="36" spans="1:3" ht="36" customHeight="1">
      <c r="A36" s="3" t="s">
        <v>2171</v>
      </c>
    </row>
    <row r="37" spans="1:3" ht="36" customHeight="1">
      <c r="A37" s="2" t="s">
        <v>2172</v>
      </c>
      <c r="B37" s="2" t="s">
        <v>232</v>
      </c>
      <c r="C37" s="2" t="s">
        <v>42</v>
      </c>
    </row>
    <row r="38" spans="1:3" ht="36" customHeight="1">
      <c r="A38" s="3" t="s">
        <v>2173</v>
      </c>
      <c r="B38" s="3" t="s">
        <v>2174</v>
      </c>
      <c r="C38" s="3" t="s">
        <v>46</v>
      </c>
    </row>
    <row r="39" spans="1:3" ht="36" customHeight="1">
      <c r="A39" s="2" t="s">
        <v>2175</v>
      </c>
      <c r="B39" s="2" t="s">
        <v>2176</v>
      </c>
      <c r="C39" s="2" t="s">
        <v>46</v>
      </c>
    </row>
    <row r="40" spans="1:3" ht="36" customHeight="1">
      <c r="A40" s="3" t="s">
        <v>2177</v>
      </c>
      <c r="B40" s="3" t="s">
        <v>2178</v>
      </c>
      <c r="C40" s="3" t="s">
        <v>46</v>
      </c>
    </row>
  </sheetData>
  <mergeCells count="5">
    <mergeCell ref="A1:H1"/>
    <mergeCell ref="A2:H2"/>
    <mergeCell ref="A4:C4"/>
    <mergeCell ref="A14:R14"/>
    <mergeCell ref="A34:C3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14"/>
  <sheetViews>
    <sheetView showGridLines="0" zoomScaleNormal="100" workbookViewId="0">
      <pane ySplit="4" topLeftCell="A146" activePane="bottomLeft" state="frozen"/>
      <selection pane="bottomLeft"/>
    </sheetView>
  </sheetViews>
  <sheetFormatPr defaultColWidth="8.7109375" defaultRowHeight="15"/>
  <cols>
    <col min="1" max="1" width="30" customWidth="1"/>
    <col min="2" max="3" width="44" customWidth="1"/>
    <col min="4" max="4" width="24" customWidth="1"/>
  </cols>
  <sheetData>
    <row r="1" spans="1:8" ht="27.75" customHeight="1">
      <c r="A1" s="12" t="s">
        <v>25</v>
      </c>
      <c r="B1" s="12"/>
      <c r="C1" s="12"/>
      <c r="D1" s="12"/>
      <c r="E1" s="12"/>
      <c r="F1" s="12"/>
      <c r="G1" s="12"/>
      <c r="H1" s="12"/>
    </row>
    <row r="2" spans="1:8" ht="33.75" customHeight="1">
      <c r="A2" s="13" t="s">
        <v>26</v>
      </c>
      <c r="B2" s="13"/>
      <c r="C2" s="13"/>
      <c r="D2" s="13"/>
      <c r="E2" s="13"/>
      <c r="F2" s="13"/>
      <c r="G2" s="13"/>
      <c r="H2" s="13"/>
    </row>
    <row r="4" spans="1:8" ht="22.5" customHeight="1">
      <c r="A4" s="11" t="s">
        <v>2179</v>
      </c>
      <c r="B4" s="11"/>
      <c r="C4" s="11"/>
      <c r="D4" s="11"/>
    </row>
    <row r="5" spans="1:8" ht="36" customHeight="1">
      <c r="A5" s="4" t="s">
        <v>2180</v>
      </c>
    </row>
    <row r="6" spans="1:8" ht="36" customHeight="1">
      <c r="A6" s="3" t="s">
        <v>2181</v>
      </c>
    </row>
    <row r="7" spans="1:8" ht="36" customHeight="1">
      <c r="A7" s="2" t="s">
        <v>2182</v>
      </c>
      <c r="B7" s="2" t="s">
        <v>275</v>
      </c>
      <c r="C7" s="2" t="s">
        <v>2183</v>
      </c>
      <c r="D7" s="2" t="s">
        <v>42</v>
      </c>
    </row>
    <row r="8" spans="1:8" ht="36" customHeight="1">
      <c r="A8" s="3" t="s">
        <v>2184</v>
      </c>
      <c r="B8" s="3" t="s">
        <v>2185</v>
      </c>
      <c r="C8" s="3" t="s">
        <v>2186</v>
      </c>
      <c r="D8" s="3" t="s">
        <v>46</v>
      </c>
    </row>
    <row r="9" spans="1:8" ht="36" customHeight="1">
      <c r="A9" s="2" t="s">
        <v>2187</v>
      </c>
      <c r="B9" s="2" t="s">
        <v>2188</v>
      </c>
      <c r="C9" s="2" t="s">
        <v>2189</v>
      </c>
      <c r="D9" s="2" t="s">
        <v>46</v>
      </c>
    </row>
    <row r="10" spans="1:8" ht="36" customHeight="1">
      <c r="A10" s="3" t="s">
        <v>2190</v>
      </c>
      <c r="B10" s="3" t="s">
        <v>2191</v>
      </c>
      <c r="C10" s="3" t="s">
        <v>2192</v>
      </c>
      <c r="D10" s="3" t="s">
        <v>46</v>
      </c>
    </row>
    <row r="11" spans="1:8" ht="36" customHeight="1">
      <c r="A11" s="2" t="s">
        <v>2193</v>
      </c>
      <c r="B11" s="2" t="s">
        <v>2194</v>
      </c>
      <c r="C11" s="2" t="s">
        <v>2195</v>
      </c>
      <c r="D11" s="2" t="s">
        <v>46</v>
      </c>
    </row>
    <row r="12" spans="1:8" ht="36" customHeight="1">
      <c r="A12" s="3" t="s">
        <v>2196</v>
      </c>
      <c r="B12" s="3" t="s">
        <v>2197</v>
      </c>
      <c r="C12" s="3" t="s">
        <v>2198</v>
      </c>
      <c r="D12" s="3" t="s">
        <v>46</v>
      </c>
    </row>
    <row r="13" spans="1:8" ht="36" customHeight="1">
      <c r="A13" s="2" t="s">
        <v>2199</v>
      </c>
      <c r="B13" s="2" t="s">
        <v>2200</v>
      </c>
      <c r="C13" s="2" t="s">
        <v>2201</v>
      </c>
      <c r="D13" s="2" t="s">
        <v>46</v>
      </c>
    </row>
    <row r="14" spans="1:8" ht="36" customHeight="1">
      <c r="A14" s="3" t="s">
        <v>2202</v>
      </c>
      <c r="B14" s="3" t="s">
        <v>2203</v>
      </c>
      <c r="C14" s="3" t="s">
        <v>2204</v>
      </c>
      <c r="D14" s="3" t="s">
        <v>46</v>
      </c>
    </row>
    <row r="15" spans="1:8" ht="36" customHeight="1">
      <c r="A15" s="2" t="s">
        <v>2205</v>
      </c>
      <c r="B15" s="2" t="s">
        <v>2206</v>
      </c>
      <c r="C15" s="2" t="s">
        <v>2207</v>
      </c>
      <c r="D15" s="2" t="s">
        <v>46</v>
      </c>
    </row>
    <row r="16" spans="1:8" ht="36" customHeight="1">
      <c r="A16" s="3" t="s">
        <v>2208</v>
      </c>
      <c r="B16" s="3" t="s">
        <v>2209</v>
      </c>
      <c r="C16" s="3" t="s">
        <v>2210</v>
      </c>
      <c r="D16" s="3" t="s">
        <v>46</v>
      </c>
    </row>
    <row r="17" spans="1:4" ht="36" customHeight="1">
      <c r="A17" s="2" t="s">
        <v>2211</v>
      </c>
      <c r="B17" s="2" t="s">
        <v>2212</v>
      </c>
      <c r="C17" s="2" t="s">
        <v>2213</v>
      </c>
      <c r="D17" s="2" t="s">
        <v>46</v>
      </c>
    </row>
    <row r="18" spans="1:4" ht="36" customHeight="1">
      <c r="A18" s="3" t="s">
        <v>2214</v>
      </c>
      <c r="B18" s="3" t="s">
        <v>2215</v>
      </c>
      <c r="C18" s="3" t="s">
        <v>2216</v>
      </c>
      <c r="D18" s="3" t="s">
        <v>46</v>
      </c>
    </row>
    <row r="19" spans="1:4" ht="36" customHeight="1">
      <c r="A19" s="2" t="s">
        <v>2217</v>
      </c>
      <c r="B19" s="2" t="s">
        <v>2218</v>
      </c>
      <c r="C19" s="2" t="s">
        <v>2219</v>
      </c>
      <c r="D19" s="2" t="s">
        <v>46</v>
      </c>
    </row>
    <row r="20" spans="1:4" ht="36" customHeight="1">
      <c r="A20" s="3" t="s">
        <v>2220</v>
      </c>
      <c r="B20" s="3" t="s">
        <v>2221</v>
      </c>
      <c r="C20" s="3" t="s">
        <v>2222</v>
      </c>
      <c r="D20" s="3" t="s">
        <v>46</v>
      </c>
    </row>
    <row r="21" spans="1:4" ht="36" customHeight="1">
      <c r="A21" s="2" t="s">
        <v>2223</v>
      </c>
      <c r="B21" s="2" t="s">
        <v>2224</v>
      </c>
      <c r="C21" s="2" t="s">
        <v>2225</v>
      </c>
      <c r="D21" s="2" t="s">
        <v>46</v>
      </c>
    </row>
    <row r="22" spans="1:4" ht="36" customHeight="1">
      <c r="A22" s="3" t="s">
        <v>2226</v>
      </c>
      <c r="B22" s="3" t="s">
        <v>2227</v>
      </c>
      <c r="C22" s="3" t="s">
        <v>2228</v>
      </c>
      <c r="D22" s="3" t="s">
        <v>46</v>
      </c>
    </row>
    <row r="23" spans="1:4" ht="36" customHeight="1">
      <c r="A23" s="2" t="s">
        <v>2229</v>
      </c>
      <c r="B23" s="2" t="s">
        <v>2230</v>
      </c>
      <c r="C23" s="2" t="s">
        <v>2231</v>
      </c>
      <c r="D23" s="2" t="s">
        <v>46</v>
      </c>
    </row>
    <row r="24" spans="1:4" ht="36" customHeight="1">
      <c r="A24" s="3" t="s">
        <v>2232</v>
      </c>
      <c r="B24" s="3" t="s">
        <v>2233</v>
      </c>
      <c r="C24" s="3" t="s">
        <v>2234</v>
      </c>
      <c r="D24" s="3" t="s">
        <v>2235</v>
      </c>
    </row>
    <row r="26" spans="1:4" ht="22.5" customHeight="1">
      <c r="A26" s="11" t="s">
        <v>2236</v>
      </c>
      <c r="B26" s="11"/>
      <c r="C26" s="11"/>
    </row>
    <row r="27" spans="1:4" ht="36" customHeight="1">
      <c r="A27" s="4" t="s">
        <v>2237</v>
      </c>
    </row>
    <row r="28" spans="1:4" ht="36" customHeight="1">
      <c r="A28" s="3" t="s">
        <v>2238</v>
      </c>
    </row>
    <row r="29" spans="1:4" ht="36" customHeight="1">
      <c r="A29" s="2" t="s">
        <v>2182</v>
      </c>
      <c r="B29" s="2" t="s">
        <v>232</v>
      </c>
      <c r="C29" s="2" t="s">
        <v>2239</v>
      </c>
    </row>
    <row r="30" spans="1:4" ht="36" customHeight="1">
      <c r="A30" s="3" t="s">
        <v>2240</v>
      </c>
      <c r="B30" s="3" t="s">
        <v>2241</v>
      </c>
      <c r="C30" s="3" t="s">
        <v>46</v>
      </c>
    </row>
    <row r="31" spans="1:4" ht="36" customHeight="1">
      <c r="A31" s="2" t="s">
        <v>2242</v>
      </c>
      <c r="B31" s="2" t="s">
        <v>2243</v>
      </c>
      <c r="C31" s="2" t="s">
        <v>2244</v>
      </c>
    </row>
    <row r="32" spans="1:4" ht="36" customHeight="1">
      <c r="A32" s="3" t="s">
        <v>2245</v>
      </c>
      <c r="B32" s="3" t="s">
        <v>2246</v>
      </c>
      <c r="C32" s="3" t="s">
        <v>46</v>
      </c>
    </row>
    <row r="33" spans="1:3" ht="36" customHeight="1">
      <c r="A33" s="2" t="s">
        <v>2247</v>
      </c>
      <c r="B33" s="2" t="s">
        <v>2248</v>
      </c>
      <c r="C33" s="2" t="s">
        <v>46</v>
      </c>
    </row>
    <row r="34" spans="1:3" ht="36" customHeight="1">
      <c r="A34" s="3" t="s">
        <v>2249</v>
      </c>
      <c r="B34" s="3" t="s">
        <v>2250</v>
      </c>
      <c r="C34" s="3" t="s">
        <v>46</v>
      </c>
    </row>
    <row r="35" spans="1:3" ht="36" customHeight="1">
      <c r="A35" s="2" t="s">
        <v>2251</v>
      </c>
      <c r="B35" s="2" t="s">
        <v>2252</v>
      </c>
      <c r="C35" s="2" t="s">
        <v>46</v>
      </c>
    </row>
    <row r="36" spans="1:3" ht="36" customHeight="1">
      <c r="A36" s="3" t="s">
        <v>2253</v>
      </c>
      <c r="B36" s="3" t="s">
        <v>2254</v>
      </c>
      <c r="C36" s="3" t="s">
        <v>2255</v>
      </c>
    </row>
    <row r="37" spans="1:3" ht="36" customHeight="1">
      <c r="A37" s="2" t="s">
        <v>2256</v>
      </c>
      <c r="B37" s="2" t="s">
        <v>2257</v>
      </c>
      <c r="C37" s="2" t="s">
        <v>834</v>
      </c>
    </row>
    <row r="38" spans="1:3" ht="36" customHeight="1">
      <c r="A38" s="3" t="s">
        <v>2258</v>
      </c>
      <c r="B38" s="3" t="s">
        <v>2259</v>
      </c>
      <c r="C38" s="3" t="s">
        <v>46</v>
      </c>
    </row>
    <row r="39" spans="1:3" ht="36" customHeight="1">
      <c r="A39" s="2" t="s">
        <v>2260</v>
      </c>
      <c r="B39" s="2" t="s">
        <v>2261</v>
      </c>
      <c r="C39" s="2" t="s">
        <v>834</v>
      </c>
    </row>
    <row r="40" spans="1:3" ht="36" customHeight="1">
      <c r="A40" s="3" t="s">
        <v>2262</v>
      </c>
      <c r="B40" s="3" t="s">
        <v>2263</v>
      </c>
      <c r="C40" s="3" t="s">
        <v>46</v>
      </c>
    </row>
    <row r="41" spans="1:3" ht="36" customHeight="1">
      <c r="A41" s="2" t="s">
        <v>2264</v>
      </c>
      <c r="B41" s="2" t="s">
        <v>2265</v>
      </c>
      <c r="C41" s="2" t="s">
        <v>2266</v>
      </c>
    </row>
    <row r="42" spans="1:3" ht="36" customHeight="1">
      <c r="A42" s="3" t="s">
        <v>2267</v>
      </c>
      <c r="B42" s="3" t="s">
        <v>2268</v>
      </c>
      <c r="C42" s="3" t="s">
        <v>46</v>
      </c>
    </row>
    <row r="43" spans="1:3" ht="36" customHeight="1">
      <c r="A43" s="2" t="s">
        <v>2269</v>
      </c>
      <c r="B43" s="2" t="s">
        <v>2270</v>
      </c>
      <c r="C43" s="2" t="s">
        <v>46</v>
      </c>
    </row>
    <row r="44" spans="1:3" ht="36" customHeight="1">
      <c r="A44" s="3" t="s">
        <v>2271</v>
      </c>
      <c r="B44" s="3" t="s">
        <v>2272</v>
      </c>
      <c r="C44" s="3" t="s">
        <v>834</v>
      </c>
    </row>
    <row r="46" spans="1:3" ht="22.5" customHeight="1">
      <c r="A46" s="11" t="s">
        <v>2273</v>
      </c>
      <c r="B46" s="11"/>
      <c r="C46" s="11"/>
    </row>
    <row r="47" spans="1:3" ht="36" customHeight="1">
      <c r="A47" s="4" t="s">
        <v>2274</v>
      </c>
    </row>
    <row r="48" spans="1:3" ht="36" customHeight="1">
      <c r="A48" s="3" t="s">
        <v>2275</v>
      </c>
    </row>
    <row r="49" spans="1:4" ht="36" customHeight="1">
      <c r="A49" s="2" t="s">
        <v>2276</v>
      </c>
      <c r="B49" s="2" t="s">
        <v>232</v>
      </c>
      <c r="C49" s="2" t="s">
        <v>2239</v>
      </c>
    </row>
    <row r="50" spans="1:4" ht="36" customHeight="1">
      <c r="A50" s="3">
        <v>1</v>
      </c>
      <c r="B50" s="3" t="s">
        <v>2277</v>
      </c>
      <c r="C50" s="3" t="s">
        <v>46</v>
      </c>
    </row>
    <row r="51" spans="1:4" ht="36" customHeight="1">
      <c r="A51" s="2">
        <v>2</v>
      </c>
      <c r="B51" s="2" t="s">
        <v>2278</v>
      </c>
      <c r="C51" s="2" t="s">
        <v>46</v>
      </c>
    </row>
    <row r="52" spans="1:4" ht="36" customHeight="1">
      <c r="A52" s="3">
        <v>3</v>
      </c>
      <c r="B52" s="3" t="s">
        <v>2279</v>
      </c>
      <c r="C52" s="3" t="s">
        <v>46</v>
      </c>
    </row>
    <row r="53" spans="1:4" ht="36" customHeight="1">
      <c r="A53" s="2">
        <v>4</v>
      </c>
      <c r="B53" s="2" t="s">
        <v>2280</v>
      </c>
      <c r="C53" s="2" t="s">
        <v>46</v>
      </c>
    </row>
    <row r="54" spans="1:4" ht="36" customHeight="1">
      <c r="A54" s="3">
        <v>5</v>
      </c>
      <c r="B54" s="3" t="s">
        <v>2281</v>
      </c>
      <c r="C54" s="3" t="s">
        <v>46</v>
      </c>
    </row>
    <row r="55" spans="1:4" ht="36" customHeight="1">
      <c r="A55" s="2">
        <v>6</v>
      </c>
      <c r="B55" s="2" t="s">
        <v>2282</v>
      </c>
      <c r="C55" s="2" t="s">
        <v>46</v>
      </c>
    </row>
    <row r="56" spans="1:4" ht="36" customHeight="1">
      <c r="A56" s="3" t="s">
        <v>2283</v>
      </c>
      <c r="B56" s="3" t="s">
        <v>2284</v>
      </c>
      <c r="C56" s="3" t="s">
        <v>2285</v>
      </c>
    </row>
    <row r="57" spans="1:4" ht="36" customHeight="1">
      <c r="A57" s="2" t="s">
        <v>2286</v>
      </c>
      <c r="B57" s="2" t="s">
        <v>2287</v>
      </c>
      <c r="C57" s="2" t="s">
        <v>46</v>
      </c>
    </row>
    <row r="58" spans="1:4" ht="36" customHeight="1">
      <c r="A58" s="3" t="s">
        <v>2288</v>
      </c>
      <c r="B58" s="3" t="s">
        <v>2289</v>
      </c>
      <c r="C58" s="3" t="s">
        <v>46</v>
      </c>
    </row>
    <row r="59" spans="1:4" ht="36" customHeight="1">
      <c r="A59" s="2" t="s">
        <v>2290</v>
      </c>
      <c r="B59" s="2" t="s">
        <v>2291</v>
      </c>
      <c r="C59" s="2" t="s">
        <v>46</v>
      </c>
    </row>
    <row r="61" spans="1:4" ht="22.5" customHeight="1">
      <c r="A61" s="11" t="s">
        <v>2292</v>
      </c>
      <c r="B61" s="11"/>
      <c r="C61" s="11"/>
      <c r="D61" s="11"/>
    </row>
    <row r="62" spans="1:4" ht="36" customHeight="1">
      <c r="A62" s="4" t="s">
        <v>2293</v>
      </c>
    </row>
    <row r="63" spans="1:4" ht="36" customHeight="1">
      <c r="A63" s="3" t="s">
        <v>2294</v>
      </c>
    </row>
    <row r="64" spans="1:4" ht="36" customHeight="1">
      <c r="A64" s="2" t="s">
        <v>842</v>
      </c>
      <c r="B64" s="2" t="s">
        <v>2295</v>
      </c>
      <c r="C64" s="2" t="s">
        <v>2296</v>
      </c>
      <c r="D64" s="2" t="s">
        <v>2297</v>
      </c>
    </row>
    <row r="65" spans="1:4" ht="36" customHeight="1">
      <c r="A65" s="3" t="s">
        <v>848</v>
      </c>
      <c r="B65" s="3">
        <v>0.1</v>
      </c>
      <c r="C65" s="3">
        <v>0.03</v>
      </c>
      <c r="D65" s="3">
        <v>0</v>
      </c>
    </row>
    <row r="66" spans="1:4" ht="36" customHeight="1">
      <c r="A66" s="2" t="s">
        <v>850</v>
      </c>
      <c r="B66" s="2">
        <v>0.55000000000000004</v>
      </c>
      <c r="C66" s="2">
        <v>0.42</v>
      </c>
      <c r="D66" s="2">
        <v>0</v>
      </c>
    </row>
    <row r="67" spans="1:4" ht="36" customHeight="1">
      <c r="A67" s="3" t="s">
        <v>852</v>
      </c>
      <c r="B67" s="3">
        <v>0.2</v>
      </c>
      <c r="C67" s="3">
        <v>0.28000000000000003</v>
      </c>
      <c r="D67" s="3">
        <v>0</v>
      </c>
    </row>
    <row r="68" spans="1:4" ht="36" customHeight="1">
      <c r="A68" s="2" t="s">
        <v>853</v>
      </c>
      <c r="B68" s="2">
        <v>0.1</v>
      </c>
      <c r="C68" s="2">
        <v>0.18</v>
      </c>
      <c r="D68" s="2">
        <v>0.60260000000000002</v>
      </c>
    </row>
    <row r="69" spans="1:4" ht="36" customHeight="1">
      <c r="A69" s="3" t="s">
        <v>855</v>
      </c>
      <c r="B69" s="3">
        <v>4.9000000000000002E-2</v>
      </c>
      <c r="C69" s="3">
        <v>6.9000000000000006E-2</v>
      </c>
      <c r="D69" s="3">
        <v>0.34239999999999998</v>
      </c>
    </row>
    <row r="70" spans="1:4" ht="36" customHeight="1">
      <c r="A70" s="2" t="s">
        <v>856</v>
      </c>
      <c r="B70" s="2">
        <v>1E-3</v>
      </c>
      <c r="C70" s="2">
        <v>0.02</v>
      </c>
      <c r="D70" s="2">
        <v>0.05</v>
      </c>
    </row>
    <row r="71" spans="1:4" ht="36" customHeight="1">
      <c r="A71" s="3" t="s">
        <v>857</v>
      </c>
      <c r="B71" s="3">
        <v>0</v>
      </c>
      <c r="C71" s="3">
        <v>1E-3</v>
      </c>
      <c r="D71" s="3">
        <v>5.0000000000000001E-3</v>
      </c>
    </row>
    <row r="72" spans="1:4" ht="36" customHeight="1">
      <c r="A72" s="2" t="s">
        <v>858</v>
      </c>
      <c r="B72" s="2">
        <v>0</v>
      </c>
      <c r="C72" s="2">
        <v>0</v>
      </c>
      <c r="D72" s="2">
        <v>0</v>
      </c>
    </row>
    <row r="73" spans="1:4" ht="36" customHeight="1">
      <c r="A73" s="3" t="s">
        <v>86</v>
      </c>
      <c r="B73" s="3">
        <v>0</v>
      </c>
      <c r="C73" s="3">
        <v>0</v>
      </c>
      <c r="D73" s="3">
        <v>0</v>
      </c>
    </row>
    <row r="74" spans="1:4" ht="36" customHeight="1">
      <c r="A74" s="2" t="s">
        <v>2298</v>
      </c>
      <c r="B74" s="2">
        <f>SUM(B65:B73)</f>
        <v>1</v>
      </c>
      <c r="C74" s="2">
        <f>SUM(C65:C73)</f>
        <v>0.99999999999999989</v>
      </c>
      <c r="D74" s="2">
        <f>SUM(D65:D73)</f>
        <v>1</v>
      </c>
    </row>
    <row r="76" spans="1:4" ht="22.5" customHeight="1">
      <c r="A76" s="11" t="s">
        <v>2299</v>
      </c>
      <c r="B76" s="11"/>
      <c r="C76" s="11"/>
    </row>
    <row r="77" spans="1:4" ht="36" customHeight="1">
      <c r="A77" s="4" t="s">
        <v>2300</v>
      </c>
    </row>
    <row r="78" spans="1:4" ht="36" customHeight="1">
      <c r="A78" s="3" t="s">
        <v>2301</v>
      </c>
    </row>
    <row r="79" spans="1:4" ht="36" customHeight="1">
      <c r="A79" s="2" t="s">
        <v>842</v>
      </c>
      <c r="B79" s="2" t="s">
        <v>2302</v>
      </c>
      <c r="C79" s="2" t="s">
        <v>232</v>
      </c>
    </row>
    <row r="80" spans="1:4" ht="36" customHeight="1">
      <c r="A80" s="3" t="s">
        <v>848</v>
      </c>
      <c r="B80" s="3">
        <v>-0.5</v>
      </c>
      <c r="C80" s="3" t="s">
        <v>2303</v>
      </c>
    </row>
    <row r="81" spans="1:3" ht="36" customHeight="1">
      <c r="A81" s="2" t="s">
        <v>850</v>
      </c>
      <c r="B81" s="2">
        <v>0</v>
      </c>
      <c r="C81" s="2" t="s">
        <v>2304</v>
      </c>
    </row>
    <row r="82" spans="1:3" ht="36" customHeight="1">
      <c r="A82" s="3" t="s">
        <v>852</v>
      </c>
      <c r="B82" s="3">
        <v>0.25</v>
      </c>
      <c r="C82" s="3" t="s">
        <v>2305</v>
      </c>
    </row>
    <row r="83" spans="1:3" ht="36" customHeight="1">
      <c r="A83" s="2" t="s">
        <v>853</v>
      </c>
      <c r="B83" s="2">
        <v>0.5</v>
      </c>
      <c r="C83" s="2" t="s">
        <v>2306</v>
      </c>
    </row>
    <row r="84" spans="1:3" ht="36" customHeight="1">
      <c r="A84" s="3" t="s">
        <v>855</v>
      </c>
      <c r="B84" s="3">
        <v>0.75</v>
      </c>
      <c r="C84" s="3" t="s">
        <v>2307</v>
      </c>
    </row>
    <row r="85" spans="1:3" ht="36" customHeight="1">
      <c r="A85" s="2" t="s">
        <v>856</v>
      </c>
      <c r="B85" s="2">
        <v>1</v>
      </c>
      <c r="C85" s="2" t="s">
        <v>2308</v>
      </c>
    </row>
    <row r="86" spans="1:3" ht="36" customHeight="1">
      <c r="A86" s="3" t="s">
        <v>857</v>
      </c>
      <c r="B86" s="3">
        <v>1</v>
      </c>
      <c r="C86" s="3" t="s">
        <v>2309</v>
      </c>
    </row>
    <row r="87" spans="1:3" ht="36" customHeight="1">
      <c r="A87" s="2" t="s">
        <v>858</v>
      </c>
      <c r="B87" s="2" t="s">
        <v>2310</v>
      </c>
    </row>
    <row r="88" spans="1:3" ht="36" customHeight="1">
      <c r="A88" s="3" t="s">
        <v>86</v>
      </c>
      <c r="B88" s="3" t="s">
        <v>2311</v>
      </c>
    </row>
    <row r="90" spans="1:3" ht="22.5" customHeight="1">
      <c r="A90" s="11" t="s">
        <v>2312</v>
      </c>
      <c r="B90" s="11"/>
      <c r="C90" s="11"/>
    </row>
    <row r="91" spans="1:3" ht="36" customHeight="1">
      <c r="A91" s="4" t="s">
        <v>2313</v>
      </c>
    </row>
    <row r="92" spans="1:3" ht="36" customHeight="1">
      <c r="A92" s="3" t="s">
        <v>2314</v>
      </c>
    </row>
    <row r="93" spans="1:3" ht="36" customHeight="1">
      <c r="A93" s="2" t="s">
        <v>2315</v>
      </c>
      <c r="B93" s="2" t="s">
        <v>2316</v>
      </c>
      <c r="C93" s="2" t="s">
        <v>46</v>
      </c>
    </row>
    <row r="94" spans="1:3" ht="36" customHeight="1">
      <c r="A94" s="3" t="s">
        <v>2317</v>
      </c>
      <c r="B94" s="3" t="s">
        <v>2318</v>
      </c>
      <c r="C94" s="3" t="s">
        <v>46</v>
      </c>
    </row>
    <row r="96" spans="1:3" ht="22.5" customHeight="1">
      <c r="A96" s="11" t="s">
        <v>2319</v>
      </c>
      <c r="B96" s="11"/>
      <c r="C96" s="11"/>
    </row>
    <row r="97" spans="1:3" ht="36" customHeight="1">
      <c r="A97" s="4" t="s">
        <v>2320</v>
      </c>
    </row>
    <row r="98" spans="1:3" ht="36" customHeight="1">
      <c r="A98" s="3" t="s">
        <v>2321</v>
      </c>
    </row>
    <row r="99" spans="1:3" ht="36" customHeight="1">
      <c r="A99" s="2" t="s">
        <v>2322</v>
      </c>
      <c r="B99" s="2" t="s">
        <v>2323</v>
      </c>
      <c r="C99" s="2" t="s">
        <v>2324</v>
      </c>
    </row>
    <row r="100" spans="1:3" ht="36" customHeight="1">
      <c r="A100" s="3" t="s">
        <v>2325</v>
      </c>
      <c r="B100" s="3" t="s">
        <v>2326</v>
      </c>
      <c r="C100" s="3" t="s">
        <v>46</v>
      </c>
    </row>
    <row r="101" spans="1:3" ht="36" customHeight="1">
      <c r="A101" s="2" t="s">
        <v>2327</v>
      </c>
      <c r="B101" s="2" t="s">
        <v>2328</v>
      </c>
      <c r="C101" s="2" t="s">
        <v>46</v>
      </c>
    </row>
    <row r="102" spans="1:3" ht="36" customHeight="1">
      <c r="A102" s="3" t="s">
        <v>2329</v>
      </c>
      <c r="B102" s="3" t="s">
        <v>2330</v>
      </c>
      <c r="C102" s="3" t="s">
        <v>2235</v>
      </c>
    </row>
    <row r="104" spans="1:3" ht="22.5" customHeight="1">
      <c r="A104" s="11" t="s">
        <v>2331</v>
      </c>
      <c r="B104" s="11"/>
      <c r="C104" s="11"/>
    </row>
    <row r="105" spans="1:3" ht="36" customHeight="1">
      <c r="A105" s="4" t="s">
        <v>2332</v>
      </c>
    </row>
    <row r="106" spans="1:3" ht="36" customHeight="1">
      <c r="A106" s="3" t="s">
        <v>2333</v>
      </c>
    </row>
    <row r="107" spans="1:3" ht="36" customHeight="1">
      <c r="A107" s="2" t="s">
        <v>2182</v>
      </c>
      <c r="B107" s="2" t="s">
        <v>232</v>
      </c>
      <c r="C107" s="2" t="s">
        <v>42</v>
      </c>
    </row>
    <row r="108" spans="1:3" ht="36" customHeight="1">
      <c r="A108" s="3" t="s">
        <v>2334</v>
      </c>
      <c r="B108" s="3" t="s">
        <v>2335</v>
      </c>
      <c r="C108" s="3" t="s">
        <v>834</v>
      </c>
    </row>
    <row r="109" spans="1:3" ht="36" customHeight="1">
      <c r="A109" s="2" t="s">
        <v>2336</v>
      </c>
      <c r="B109" s="2" t="s">
        <v>2337</v>
      </c>
      <c r="C109" s="2" t="s">
        <v>834</v>
      </c>
    </row>
    <row r="110" spans="1:3" ht="36" customHeight="1">
      <c r="A110" s="3" t="s">
        <v>2338</v>
      </c>
      <c r="B110" s="3" t="s">
        <v>2339</v>
      </c>
      <c r="C110" s="3" t="s">
        <v>46</v>
      </c>
    </row>
    <row r="111" spans="1:3" ht="36" customHeight="1">
      <c r="A111" s="2" t="s">
        <v>2340</v>
      </c>
      <c r="B111" s="2" t="s">
        <v>2341</v>
      </c>
      <c r="C111" s="2" t="s">
        <v>834</v>
      </c>
    </row>
    <row r="112" spans="1:3" ht="36" customHeight="1">
      <c r="A112" s="3" t="s">
        <v>2342</v>
      </c>
      <c r="B112" s="3" t="s">
        <v>2343</v>
      </c>
      <c r="C112" s="3" t="s">
        <v>834</v>
      </c>
    </row>
    <row r="113" spans="1:3" ht="36" customHeight="1">
      <c r="A113" s="2" t="s">
        <v>2344</v>
      </c>
      <c r="B113" s="2" t="s">
        <v>2345</v>
      </c>
      <c r="C113" s="2" t="s">
        <v>834</v>
      </c>
    </row>
    <row r="114" spans="1:3" ht="36" customHeight="1">
      <c r="A114" s="3" t="s">
        <v>2346</v>
      </c>
      <c r="B114" s="3" t="s">
        <v>2347</v>
      </c>
      <c r="C114" s="3" t="s">
        <v>1861</v>
      </c>
    </row>
  </sheetData>
  <mergeCells count="10">
    <mergeCell ref="A1:H1"/>
    <mergeCell ref="A2:H2"/>
    <mergeCell ref="A4:D4"/>
    <mergeCell ref="A26:C26"/>
    <mergeCell ref="A46:C46"/>
    <mergeCell ref="A61:D61"/>
    <mergeCell ref="A76:C76"/>
    <mergeCell ref="A90:C90"/>
    <mergeCell ref="A96:C96"/>
    <mergeCell ref="A104:C104"/>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3"/>
  <sheetViews>
    <sheetView showGridLines="0" zoomScaleNormal="100" workbookViewId="0">
      <pane ySplit="4" topLeftCell="A5" activePane="bottomLeft" state="frozen"/>
      <selection pane="bottomLeft"/>
    </sheetView>
  </sheetViews>
  <sheetFormatPr defaultColWidth="8.7109375" defaultRowHeight="15"/>
  <cols>
    <col min="1" max="1" width="30" customWidth="1"/>
    <col min="2" max="3" width="44" customWidth="1"/>
    <col min="4" max="8" width="24" customWidth="1"/>
    <col min="9" max="13" width="28" customWidth="1"/>
  </cols>
  <sheetData>
    <row r="1" spans="1:13" ht="27.75" customHeight="1">
      <c r="A1" s="12" t="s">
        <v>27</v>
      </c>
      <c r="B1" s="12"/>
      <c r="C1" s="12"/>
      <c r="D1" s="12"/>
      <c r="E1" s="12"/>
      <c r="F1" s="12"/>
      <c r="G1" s="12"/>
      <c r="H1" s="12"/>
    </row>
    <row r="2" spans="1:13" ht="33.75" customHeight="1">
      <c r="A2" s="13" t="s">
        <v>28</v>
      </c>
      <c r="B2" s="13"/>
      <c r="C2" s="13"/>
      <c r="D2" s="13"/>
      <c r="E2" s="13"/>
      <c r="F2" s="13"/>
      <c r="G2" s="13"/>
      <c r="H2" s="13"/>
    </row>
    <row r="4" spans="1:13" ht="22.5" customHeight="1">
      <c r="A4" s="11" t="s">
        <v>2348</v>
      </c>
      <c r="B4" s="11"/>
      <c r="C4" s="11"/>
      <c r="D4" s="11"/>
      <c r="E4" s="11"/>
      <c r="F4" s="11"/>
      <c r="G4" s="11"/>
      <c r="H4" s="11"/>
      <c r="I4" s="11"/>
      <c r="J4" s="11"/>
      <c r="K4" s="11"/>
      <c r="L4" s="11"/>
      <c r="M4" s="11"/>
    </row>
    <row r="5" spans="1:13" ht="36" customHeight="1">
      <c r="A5" s="4" t="s">
        <v>2349</v>
      </c>
    </row>
    <row r="6" spans="1:13" ht="36" customHeight="1">
      <c r="A6" s="3" t="s">
        <v>2350</v>
      </c>
    </row>
    <row r="7" spans="1:13" ht="36" customHeight="1">
      <c r="A7" s="2" t="s">
        <v>2351</v>
      </c>
      <c r="B7" s="2" t="s">
        <v>2352</v>
      </c>
      <c r="C7" s="2" t="s">
        <v>2353</v>
      </c>
      <c r="D7" s="2" t="s">
        <v>827</v>
      </c>
      <c r="E7" s="2" t="s">
        <v>2354</v>
      </c>
      <c r="F7" s="2" t="s">
        <v>2355</v>
      </c>
      <c r="G7" s="2" t="s">
        <v>1636</v>
      </c>
      <c r="H7" s="2" t="s">
        <v>2356</v>
      </c>
      <c r="I7" s="2" t="s">
        <v>2357</v>
      </c>
      <c r="J7" s="2" t="s">
        <v>2358</v>
      </c>
      <c r="K7" s="2" t="s">
        <v>2359</v>
      </c>
      <c r="L7" s="2" t="s">
        <v>42</v>
      </c>
      <c r="M7" s="2" t="s">
        <v>204</v>
      </c>
    </row>
    <row r="8" spans="1:13" ht="36" customHeight="1">
      <c r="A8" s="3" t="s">
        <v>2360</v>
      </c>
      <c r="B8" s="3" t="s">
        <v>2361</v>
      </c>
      <c r="C8" s="3" t="s">
        <v>2362</v>
      </c>
      <c r="D8" s="3" t="s">
        <v>2363</v>
      </c>
      <c r="E8" s="3" t="s">
        <v>2364</v>
      </c>
      <c r="F8" s="3" t="s">
        <v>2365</v>
      </c>
      <c r="G8" s="3" t="s">
        <v>2366</v>
      </c>
      <c r="H8" s="3" t="s">
        <v>1186</v>
      </c>
      <c r="I8" s="3" t="s">
        <v>2367</v>
      </c>
      <c r="J8" s="3" t="s">
        <v>2368</v>
      </c>
      <c r="K8" s="3" t="s">
        <v>2369</v>
      </c>
      <c r="L8" s="3" t="s">
        <v>46</v>
      </c>
      <c r="M8" s="3" t="s">
        <v>2370</v>
      </c>
    </row>
    <row r="9" spans="1:13" ht="36" customHeight="1">
      <c r="A9" s="2" t="s">
        <v>2371</v>
      </c>
      <c r="B9" s="2" t="s">
        <v>2372</v>
      </c>
      <c r="C9" s="2" t="s">
        <v>2373</v>
      </c>
      <c r="D9" s="2" t="s">
        <v>2374</v>
      </c>
      <c r="E9" s="2" t="s">
        <v>2375</v>
      </c>
      <c r="F9" s="2" t="s">
        <v>2376</v>
      </c>
      <c r="G9" s="2" t="s">
        <v>2377</v>
      </c>
      <c r="H9" s="2" t="s">
        <v>1186</v>
      </c>
      <c r="I9" s="2" t="s">
        <v>2367</v>
      </c>
      <c r="J9" s="2" t="s">
        <v>2378</v>
      </c>
      <c r="K9" s="2" t="s">
        <v>2379</v>
      </c>
      <c r="L9" s="2" t="s">
        <v>46</v>
      </c>
      <c r="M9" s="2" t="s">
        <v>2380</v>
      </c>
    </row>
    <row r="10" spans="1:13" ht="36" customHeight="1">
      <c r="A10" s="3" t="s">
        <v>2381</v>
      </c>
      <c r="B10" s="3" t="s">
        <v>2382</v>
      </c>
      <c r="C10" s="3" t="s">
        <v>2383</v>
      </c>
      <c r="D10" s="3" t="s">
        <v>2384</v>
      </c>
      <c r="E10" s="3" t="s">
        <v>2385</v>
      </c>
      <c r="F10" s="3" t="s">
        <v>2386</v>
      </c>
      <c r="G10" s="3" t="s">
        <v>2387</v>
      </c>
      <c r="H10" s="3" t="s">
        <v>1186</v>
      </c>
      <c r="I10" s="3" t="s">
        <v>2388</v>
      </c>
      <c r="J10" s="3" t="s">
        <v>2389</v>
      </c>
      <c r="K10" s="3" t="s">
        <v>2390</v>
      </c>
      <c r="L10" s="3" t="s">
        <v>46</v>
      </c>
      <c r="M10" s="3" t="s">
        <v>2391</v>
      </c>
    </row>
    <row r="11" spans="1:13" ht="36" customHeight="1">
      <c r="A11" s="2" t="s">
        <v>2392</v>
      </c>
      <c r="B11" s="2" t="s">
        <v>2393</v>
      </c>
      <c r="C11" s="2" t="s">
        <v>2394</v>
      </c>
      <c r="D11" s="2" t="s">
        <v>2395</v>
      </c>
      <c r="E11" s="2" t="s">
        <v>2396</v>
      </c>
      <c r="F11" s="2" t="s">
        <v>2397</v>
      </c>
      <c r="G11" s="2" t="s">
        <v>2398</v>
      </c>
      <c r="H11" s="2" t="s">
        <v>2399</v>
      </c>
      <c r="I11" s="2" t="s">
        <v>2400</v>
      </c>
      <c r="J11" s="2" t="s">
        <v>2401</v>
      </c>
      <c r="K11" s="2" t="s">
        <v>2402</v>
      </c>
      <c r="L11" s="2" t="s">
        <v>46</v>
      </c>
      <c r="M11" s="2" t="s">
        <v>2403</v>
      </c>
    </row>
    <row r="12" spans="1:13" ht="36" customHeight="1">
      <c r="A12" s="3" t="s">
        <v>2404</v>
      </c>
      <c r="B12" s="3" t="s">
        <v>2405</v>
      </c>
      <c r="C12" s="3" t="s">
        <v>2406</v>
      </c>
      <c r="D12" s="3" t="s">
        <v>2407</v>
      </c>
      <c r="E12" s="3" t="s">
        <v>2408</v>
      </c>
      <c r="F12" s="3" t="s">
        <v>2409</v>
      </c>
      <c r="G12" s="3" t="s">
        <v>2410</v>
      </c>
      <c r="H12" s="3" t="s">
        <v>2399</v>
      </c>
      <c r="I12" s="3" t="s">
        <v>2400</v>
      </c>
      <c r="J12" s="3" t="s">
        <v>2411</v>
      </c>
      <c r="K12" s="3" t="s">
        <v>2412</v>
      </c>
      <c r="L12" s="3" t="s">
        <v>46</v>
      </c>
      <c r="M12" s="3" t="s">
        <v>2413</v>
      </c>
    </row>
    <row r="13" spans="1:13" ht="36" customHeight="1">
      <c r="A13" s="2" t="s">
        <v>2414</v>
      </c>
      <c r="B13" s="2" t="s">
        <v>2415</v>
      </c>
      <c r="C13" s="2" t="s">
        <v>2416</v>
      </c>
      <c r="D13" s="2" t="s">
        <v>2417</v>
      </c>
      <c r="E13" s="2" t="s">
        <v>2418</v>
      </c>
      <c r="F13" s="2" t="s">
        <v>2419</v>
      </c>
      <c r="G13" s="2" t="s">
        <v>2420</v>
      </c>
      <c r="H13" s="2" t="s">
        <v>1186</v>
      </c>
      <c r="I13" s="2" t="s">
        <v>1186</v>
      </c>
      <c r="J13" s="2" t="s">
        <v>2421</v>
      </c>
      <c r="K13" s="2" t="s">
        <v>2422</v>
      </c>
      <c r="L13" s="2" t="s">
        <v>46</v>
      </c>
      <c r="M13" s="2" t="s">
        <v>2423</v>
      </c>
    </row>
    <row r="14" spans="1:13" ht="36" customHeight="1">
      <c r="A14" s="3" t="s">
        <v>2424</v>
      </c>
      <c r="B14" s="3" t="s">
        <v>2425</v>
      </c>
      <c r="C14" s="3" t="s">
        <v>2416</v>
      </c>
      <c r="D14" s="3" t="s">
        <v>2417</v>
      </c>
      <c r="E14" s="3" t="s">
        <v>2426</v>
      </c>
      <c r="F14" s="3" t="s">
        <v>2427</v>
      </c>
      <c r="G14" s="3" t="s">
        <v>2428</v>
      </c>
      <c r="H14" s="3" t="s">
        <v>1186</v>
      </c>
      <c r="I14" s="3" t="s">
        <v>1186</v>
      </c>
      <c r="J14" s="3" t="s">
        <v>2429</v>
      </c>
      <c r="K14" s="3" t="s">
        <v>2430</v>
      </c>
      <c r="L14" s="3" t="s">
        <v>46</v>
      </c>
      <c r="M14" s="3" t="s">
        <v>2431</v>
      </c>
    </row>
    <row r="15" spans="1:13" ht="36" customHeight="1">
      <c r="A15" s="2" t="s">
        <v>2432</v>
      </c>
      <c r="B15" s="2" t="s">
        <v>2433</v>
      </c>
      <c r="C15" s="2" t="s">
        <v>2434</v>
      </c>
      <c r="D15" s="2" t="s">
        <v>2435</v>
      </c>
      <c r="E15" s="2" t="s">
        <v>2436</v>
      </c>
      <c r="F15" s="2" t="s">
        <v>2437</v>
      </c>
      <c r="G15" s="2" t="s">
        <v>2438</v>
      </c>
      <c r="H15" s="2" t="s">
        <v>1650</v>
      </c>
      <c r="I15" s="2" t="s">
        <v>2439</v>
      </c>
      <c r="J15" s="2" t="s">
        <v>2440</v>
      </c>
      <c r="K15" s="2" t="s">
        <v>2441</v>
      </c>
      <c r="L15" s="2" t="s">
        <v>46</v>
      </c>
      <c r="M15" s="2" t="s">
        <v>2442</v>
      </c>
    </row>
    <row r="16" spans="1:13" ht="36" customHeight="1">
      <c r="A16" s="3" t="s">
        <v>2443</v>
      </c>
      <c r="B16" s="3" t="s">
        <v>2444</v>
      </c>
      <c r="C16" s="3" t="s">
        <v>2445</v>
      </c>
      <c r="D16" s="3" t="s">
        <v>2446</v>
      </c>
      <c r="E16" s="3" t="s">
        <v>2447</v>
      </c>
      <c r="F16" s="3" t="s">
        <v>2448</v>
      </c>
      <c r="G16" s="3" t="s">
        <v>2449</v>
      </c>
      <c r="H16" s="3" t="s">
        <v>2450</v>
      </c>
      <c r="I16" s="3" t="s">
        <v>2451</v>
      </c>
      <c r="J16" s="3" t="s">
        <v>2452</v>
      </c>
      <c r="K16" s="3" t="s">
        <v>2453</v>
      </c>
      <c r="L16" s="3" t="s">
        <v>46</v>
      </c>
      <c r="M16" s="3" t="s">
        <v>2454</v>
      </c>
    </row>
    <row r="17" spans="1:13" ht="36" customHeight="1">
      <c r="A17" s="2" t="s">
        <v>2455</v>
      </c>
      <c r="B17" s="2" t="s">
        <v>2456</v>
      </c>
      <c r="C17" s="2" t="s">
        <v>2457</v>
      </c>
      <c r="D17" s="2" t="s">
        <v>2458</v>
      </c>
      <c r="E17" s="2" t="s">
        <v>2459</v>
      </c>
      <c r="F17" s="2" t="s">
        <v>2460</v>
      </c>
      <c r="G17" s="2" t="s">
        <v>2461</v>
      </c>
      <c r="H17" s="2" t="s">
        <v>2462</v>
      </c>
      <c r="I17" s="2" t="s">
        <v>860</v>
      </c>
      <c r="J17" s="2" t="s">
        <v>2463</v>
      </c>
      <c r="K17" s="2" t="s">
        <v>2464</v>
      </c>
      <c r="L17" s="2" t="s">
        <v>46</v>
      </c>
      <c r="M17" s="2" t="s">
        <v>2465</v>
      </c>
    </row>
    <row r="18" spans="1:13" ht="36" customHeight="1">
      <c r="A18" s="3" t="s">
        <v>2466</v>
      </c>
      <c r="B18" s="3" t="s">
        <v>2467</v>
      </c>
      <c r="C18" s="3" t="s">
        <v>2468</v>
      </c>
      <c r="D18" s="3" t="s">
        <v>2469</v>
      </c>
      <c r="E18" s="3" t="s">
        <v>2470</v>
      </c>
      <c r="F18" s="3" t="s">
        <v>2471</v>
      </c>
      <c r="G18" s="3" t="s">
        <v>2472</v>
      </c>
      <c r="H18" s="3" t="s">
        <v>2473</v>
      </c>
      <c r="I18" s="3" t="s">
        <v>860</v>
      </c>
      <c r="J18" s="3" t="s">
        <v>2474</v>
      </c>
      <c r="K18" s="3" t="s">
        <v>2475</v>
      </c>
      <c r="L18" s="3" t="s">
        <v>46</v>
      </c>
      <c r="M18" s="3" t="s">
        <v>2476</v>
      </c>
    </row>
    <row r="19" spans="1:13" ht="36" customHeight="1">
      <c r="A19" s="2" t="s">
        <v>2477</v>
      </c>
      <c r="B19" s="2" t="s">
        <v>2478</v>
      </c>
      <c r="C19" s="2" t="s">
        <v>2479</v>
      </c>
      <c r="D19" s="2" t="s">
        <v>2480</v>
      </c>
      <c r="E19" s="2" t="s">
        <v>2481</v>
      </c>
      <c r="F19" s="2" t="s">
        <v>2482</v>
      </c>
      <c r="G19" s="2" t="s">
        <v>2483</v>
      </c>
      <c r="H19" s="2" t="s">
        <v>2484</v>
      </c>
      <c r="I19" s="2" t="s">
        <v>860</v>
      </c>
      <c r="J19" s="2" t="s">
        <v>2485</v>
      </c>
      <c r="K19" s="2" t="s">
        <v>2486</v>
      </c>
      <c r="L19" s="2" t="s">
        <v>46</v>
      </c>
      <c r="M19" s="2" t="s">
        <v>2487</v>
      </c>
    </row>
    <row r="20" spans="1:13" ht="36" customHeight="1">
      <c r="A20" s="3" t="s">
        <v>2488</v>
      </c>
      <c r="B20" s="3" t="s">
        <v>2489</v>
      </c>
      <c r="C20" s="3" t="s">
        <v>2490</v>
      </c>
      <c r="D20" s="3" t="s">
        <v>2491</v>
      </c>
      <c r="E20" s="3" t="s">
        <v>2492</v>
      </c>
      <c r="F20" s="3" t="s">
        <v>2493</v>
      </c>
      <c r="G20" s="3" t="s">
        <v>2494</v>
      </c>
      <c r="H20" s="3" t="s">
        <v>2495</v>
      </c>
      <c r="I20" s="3" t="s">
        <v>860</v>
      </c>
      <c r="J20" s="3" t="s">
        <v>2496</v>
      </c>
      <c r="K20" s="3" t="s">
        <v>2497</v>
      </c>
      <c r="L20" s="3" t="s">
        <v>46</v>
      </c>
      <c r="M20" s="3" t="s">
        <v>2498</v>
      </c>
    </row>
    <row r="21" spans="1:13" ht="36" customHeight="1">
      <c r="A21" s="2" t="s">
        <v>2499</v>
      </c>
      <c r="B21" s="2" t="s">
        <v>2500</v>
      </c>
      <c r="C21" s="2" t="s">
        <v>2501</v>
      </c>
      <c r="D21" s="2" t="s">
        <v>2502</v>
      </c>
      <c r="E21" s="2" t="s">
        <v>2503</v>
      </c>
      <c r="F21" s="2" t="s">
        <v>2504</v>
      </c>
      <c r="G21" s="2" t="s">
        <v>2505</v>
      </c>
      <c r="H21" s="2" t="s">
        <v>1186</v>
      </c>
      <c r="I21" s="2" t="s">
        <v>670</v>
      </c>
      <c r="J21" s="2" t="s">
        <v>2389</v>
      </c>
      <c r="K21" s="2" t="s">
        <v>2506</v>
      </c>
      <c r="L21" s="2" t="s">
        <v>46</v>
      </c>
      <c r="M21" s="2" t="s">
        <v>2507</v>
      </c>
    </row>
    <row r="22" spans="1:13" ht="36" customHeight="1">
      <c r="A22" s="3" t="s">
        <v>2508</v>
      </c>
      <c r="B22" s="3" t="s">
        <v>2509</v>
      </c>
      <c r="C22" s="3" t="s">
        <v>2510</v>
      </c>
      <c r="D22" s="3" t="s">
        <v>2511</v>
      </c>
      <c r="E22" s="3" t="s">
        <v>2512</v>
      </c>
      <c r="F22" s="3" t="s">
        <v>2513</v>
      </c>
      <c r="G22" s="3" t="s">
        <v>2514</v>
      </c>
      <c r="H22" s="3" t="s">
        <v>2515</v>
      </c>
      <c r="I22" s="3" t="s">
        <v>615</v>
      </c>
      <c r="J22" s="3" t="s">
        <v>2516</v>
      </c>
      <c r="K22" s="3" t="s">
        <v>2517</v>
      </c>
      <c r="L22" s="3" t="s">
        <v>46</v>
      </c>
      <c r="M22" s="3" t="s">
        <v>2518</v>
      </c>
    </row>
    <row r="23" spans="1:13" ht="36" customHeight="1">
      <c r="A23" s="2" t="s">
        <v>2519</v>
      </c>
      <c r="B23" s="2" t="s">
        <v>2520</v>
      </c>
      <c r="C23" s="2" t="s">
        <v>2521</v>
      </c>
      <c r="D23" s="2" t="s">
        <v>2522</v>
      </c>
      <c r="E23" s="2" t="s">
        <v>2523</v>
      </c>
      <c r="F23" s="2" t="s">
        <v>2524</v>
      </c>
      <c r="G23" s="2" t="s">
        <v>2525</v>
      </c>
      <c r="H23" s="2" t="s">
        <v>1823</v>
      </c>
      <c r="I23" s="2" t="s">
        <v>615</v>
      </c>
      <c r="J23" s="2" t="s">
        <v>2526</v>
      </c>
      <c r="K23" s="2" t="s">
        <v>2527</v>
      </c>
      <c r="L23" s="2" t="s">
        <v>46</v>
      </c>
      <c r="M23" s="2" t="s">
        <v>2528</v>
      </c>
    </row>
  </sheetData>
  <mergeCells count="3">
    <mergeCell ref="A1:H1"/>
    <mergeCell ref="A2:H2"/>
    <mergeCell ref="A4:M4"/>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95"/>
  <sheetViews>
    <sheetView showGridLines="0" zoomScaleNormal="100" workbookViewId="0">
      <pane ySplit="4" topLeftCell="A5" activePane="bottomLeft" state="frozen"/>
      <selection pane="bottomLeft"/>
    </sheetView>
  </sheetViews>
  <sheetFormatPr defaultColWidth="8.7109375" defaultRowHeight="15"/>
  <cols>
    <col min="1" max="1" width="30" customWidth="1"/>
    <col min="2" max="3" width="44" customWidth="1"/>
  </cols>
  <sheetData>
    <row r="1" spans="1:8" ht="27.75" customHeight="1">
      <c r="A1" s="12" t="s">
        <v>29</v>
      </c>
      <c r="B1" s="12"/>
      <c r="C1" s="12"/>
      <c r="D1" s="12"/>
      <c r="E1" s="12"/>
      <c r="F1" s="12"/>
      <c r="G1" s="12"/>
      <c r="H1" s="12"/>
    </row>
    <row r="2" spans="1:8" ht="33.75" customHeight="1">
      <c r="A2" s="13" t="s">
        <v>30</v>
      </c>
      <c r="B2" s="13"/>
      <c r="C2" s="13"/>
      <c r="D2" s="13"/>
      <c r="E2" s="13"/>
      <c r="F2" s="13"/>
      <c r="G2" s="13"/>
      <c r="H2" s="13"/>
    </row>
    <row r="4" spans="1:8" ht="22.5" customHeight="1">
      <c r="A4" s="11" t="s">
        <v>2529</v>
      </c>
      <c r="B4" s="11"/>
      <c r="C4" s="11"/>
    </row>
    <row r="5" spans="1:8" ht="36" customHeight="1">
      <c r="A5" s="4" t="s">
        <v>2530</v>
      </c>
    </row>
    <row r="6" spans="1:8" ht="36" customHeight="1">
      <c r="A6" s="3" t="s">
        <v>2531</v>
      </c>
    </row>
    <row r="7" spans="1:8" ht="36" customHeight="1">
      <c r="A7" s="2" t="s">
        <v>40</v>
      </c>
      <c r="B7" s="2" t="s">
        <v>2532</v>
      </c>
      <c r="C7" s="2" t="s">
        <v>204</v>
      </c>
    </row>
    <row r="8" spans="1:8" ht="36" customHeight="1">
      <c r="A8" s="3" t="s">
        <v>2533</v>
      </c>
      <c r="B8" s="3" t="s">
        <v>2534</v>
      </c>
      <c r="C8" s="3" t="s">
        <v>2535</v>
      </c>
    </row>
    <row r="9" spans="1:8" ht="36" customHeight="1">
      <c r="A9" s="2" t="s">
        <v>2536</v>
      </c>
      <c r="B9" s="2" t="s">
        <v>2537</v>
      </c>
      <c r="C9" s="2" t="s">
        <v>2538</v>
      </c>
    </row>
    <row r="10" spans="1:8" ht="36" customHeight="1">
      <c r="A10" s="3" t="s">
        <v>2539</v>
      </c>
      <c r="B10" s="3" t="s">
        <v>2540</v>
      </c>
      <c r="C10" s="3" t="s">
        <v>2541</v>
      </c>
    </row>
    <row r="11" spans="1:8" ht="36" customHeight="1">
      <c r="A11" s="2" t="s">
        <v>2542</v>
      </c>
      <c r="B11" s="2" t="s">
        <v>2543</v>
      </c>
      <c r="C11" s="2" t="s">
        <v>2544</v>
      </c>
    </row>
    <row r="12" spans="1:8" ht="36" customHeight="1">
      <c r="A12" s="3" t="s">
        <v>2545</v>
      </c>
      <c r="B12" s="3" t="s">
        <v>2546</v>
      </c>
      <c r="C12" s="3" t="s">
        <v>2547</v>
      </c>
    </row>
    <row r="13" spans="1:8" ht="36" customHeight="1">
      <c r="A13" s="2" t="s">
        <v>2548</v>
      </c>
      <c r="B13" s="5">
        <v>46240</v>
      </c>
      <c r="C13" s="2" t="s">
        <v>2549</v>
      </c>
    </row>
    <row r="15" spans="1:8" ht="22.5" customHeight="1">
      <c r="A15" s="11" t="s">
        <v>2550</v>
      </c>
      <c r="B15" s="11"/>
      <c r="C15" s="11"/>
    </row>
    <row r="16" spans="1:8" ht="36" customHeight="1">
      <c r="A16" s="4" t="s">
        <v>2551</v>
      </c>
    </row>
    <row r="17" spans="1:3" ht="36" customHeight="1">
      <c r="A17" s="3" t="s">
        <v>2552</v>
      </c>
    </row>
    <row r="18" spans="1:3" ht="36" customHeight="1">
      <c r="A18" s="2" t="s">
        <v>2182</v>
      </c>
      <c r="B18" s="2" t="s">
        <v>2553</v>
      </c>
      <c r="C18" s="2" t="s">
        <v>204</v>
      </c>
    </row>
    <row r="19" spans="1:3" ht="36" customHeight="1">
      <c r="A19" s="3" t="s">
        <v>2109</v>
      </c>
      <c r="B19" s="3" t="s">
        <v>2554</v>
      </c>
      <c r="C19" s="3" t="s">
        <v>2555</v>
      </c>
    </row>
    <row r="20" spans="1:3" ht="36" customHeight="1">
      <c r="A20" s="2" t="s">
        <v>2556</v>
      </c>
      <c r="B20" s="2" t="s">
        <v>2557</v>
      </c>
      <c r="C20" s="2" t="s">
        <v>2558</v>
      </c>
    </row>
    <row r="21" spans="1:3" ht="36" customHeight="1">
      <c r="A21" s="3" t="s">
        <v>2559</v>
      </c>
      <c r="B21" s="3" t="s">
        <v>2560</v>
      </c>
      <c r="C21" s="3" t="s">
        <v>2558</v>
      </c>
    </row>
    <row r="22" spans="1:3" ht="36" customHeight="1">
      <c r="A22" s="2" t="s">
        <v>2561</v>
      </c>
      <c r="B22" s="2" t="s">
        <v>2562</v>
      </c>
      <c r="C22" s="2" t="s">
        <v>2563</v>
      </c>
    </row>
    <row r="23" spans="1:3" ht="36" customHeight="1">
      <c r="A23" s="3" t="s">
        <v>747</v>
      </c>
      <c r="B23" s="3" t="s">
        <v>2564</v>
      </c>
      <c r="C23" s="3" t="s">
        <v>2565</v>
      </c>
    </row>
    <row r="24" spans="1:3" ht="36" customHeight="1">
      <c r="A24" s="2" t="s">
        <v>2566</v>
      </c>
      <c r="B24" s="2" t="s">
        <v>2567</v>
      </c>
      <c r="C24" s="2" t="s">
        <v>2568</v>
      </c>
    </row>
    <row r="25" spans="1:3" ht="36" customHeight="1">
      <c r="A25" s="3" t="s">
        <v>2569</v>
      </c>
      <c r="B25" s="3" t="s">
        <v>2570</v>
      </c>
      <c r="C25" s="3" t="s">
        <v>2571</v>
      </c>
    </row>
    <row r="26" spans="1:3" ht="36" customHeight="1">
      <c r="A26" s="2" t="s">
        <v>2572</v>
      </c>
      <c r="B26" s="2" t="s">
        <v>2573</v>
      </c>
      <c r="C26" s="2" t="s">
        <v>2574</v>
      </c>
    </row>
    <row r="27" spans="1:3" ht="36" customHeight="1">
      <c r="A27" s="3" t="s">
        <v>2575</v>
      </c>
      <c r="B27" s="3" t="s">
        <v>2576</v>
      </c>
      <c r="C27" s="3" t="s">
        <v>2577</v>
      </c>
    </row>
    <row r="28" spans="1:3" ht="36" customHeight="1">
      <c r="A28" s="2" t="s">
        <v>2578</v>
      </c>
      <c r="B28" s="2" t="s">
        <v>2579</v>
      </c>
      <c r="C28" s="2" t="s">
        <v>2580</v>
      </c>
    </row>
    <row r="29" spans="1:3" ht="36" customHeight="1">
      <c r="A29" s="3" t="s">
        <v>2581</v>
      </c>
      <c r="B29" s="3" t="s">
        <v>2582</v>
      </c>
      <c r="C29" s="3" t="s">
        <v>2583</v>
      </c>
    </row>
    <row r="30" spans="1:3" ht="36" customHeight="1">
      <c r="A30" s="2" t="s">
        <v>2584</v>
      </c>
      <c r="B30" s="2" t="s">
        <v>2585</v>
      </c>
      <c r="C30" s="2" t="s">
        <v>2586</v>
      </c>
    </row>
    <row r="31" spans="1:3" ht="36" customHeight="1">
      <c r="A31" s="3" t="s">
        <v>2264</v>
      </c>
      <c r="B31" s="3" t="s">
        <v>2587</v>
      </c>
      <c r="C31" s="3" t="s">
        <v>2588</v>
      </c>
    </row>
    <row r="32" spans="1:3" ht="36" customHeight="1">
      <c r="A32" s="2" t="s">
        <v>832</v>
      </c>
      <c r="B32" s="2" t="s">
        <v>2589</v>
      </c>
      <c r="C32" s="2" t="s">
        <v>2590</v>
      </c>
    </row>
    <row r="33" spans="1:3" ht="36" customHeight="1">
      <c r="A33" s="3" t="s">
        <v>2591</v>
      </c>
      <c r="B33" s="3" t="s">
        <v>2592</v>
      </c>
      <c r="C33" s="3" t="s">
        <v>2593</v>
      </c>
    </row>
    <row r="34" spans="1:3" ht="36" customHeight="1">
      <c r="A34" s="2" t="s">
        <v>2594</v>
      </c>
      <c r="B34" s="2" t="s">
        <v>2595</v>
      </c>
      <c r="C34" s="2" t="s">
        <v>2596</v>
      </c>
    </row>
    <row r="35" spans="1:3" ht="36" customHeight="1">
      <c r="A35" s="3" t="s">
        <v>2597</v>
      </c>
      <c r="B35" s="3" t="s">
        <v>2598</v>
      </c>
      <c r="C35" s="3" t="s">
        <v>2599</v>
      </c>
    </row>
    <row r="36" spans="1:3" ht="36" customHeight="1">
      <c r="A36" s="2" t="s">
        <v>2600</v>
      </c>
      <c r="B36" s="2" t="s">
        <v>2601</v>
      </c>
      <c r="C36" s="2" t="s">
        <v>2602</v>
      </c>
    </row>
    <row r="37" spans="1:3" ht="36" customHeight="1">
      <c r="A37" s="3" t="s">
        <v>1125</v>
      </c>
      <c r="B37" s="3" t="s">
        <v>2603</v>
      </c>
      <c r="C37" s="3" t="s">
        <v>2604</v>
      </c>
    </row>
    <row r="39" spans="1:3" ht="22.5" customHeight="1">
      <c r="A39" s="11" t="s">
        <v>2605</v>
      </c>
      <c r="B39" s="11"/>
      <c r="C39" s="11"/>
    </row>
    <row r="40" spans="1:3" ht="36" customHeight="1">
      <c r="A40" s="4" t="s">
        <v>2606</v>
      </c>
    </row>
    <row r="41" spans="1:3" ht="36" customHeight="1">
      <c r="A41" s="3" t="s">
        <v>2607</v>
      </c>
    </row>
    <row r="42" spans="1:3" ht="36" customHeight="1">
      <c r="A42" s="2" t="s">
        <v>201</v>
      </c>
      <c r="B42" s="2" t="s">
        <v>2553</v>
      </c>
      <c r="C42" s="2" t="s">
        <v>2608</v>
      </c>
    </row>
    <row r="43" spans="1:3" ht="36" customHeight="1">
      <c r="A43" s="3" t="s">
        <v>205</v>
      </c>
      <c r="B43" s="3" t="s">
        <v>2609</v>
      </c>
      <c r="C43" s="3" t="s">
        <v>2610</v>
      </c>
    </row>
    <row r="44" spans="1:3" ht="36" customHeight="1">
      <c r="A44" s="2" t="s">
        <v>209</v>
      </c>
      <c r="B44" s="2" t="s">
        <v>2611</v>
      </c>
      <c r="C44" s="2" t="s">
        <v>2612</v>
      </c>
    </row>
    <row r="45" spans="1:3" ht="36" customHeight="1">
      <c r="A45" s="3" t="s">
        <v>213</v>
      </c>
      <c r="B45" s="3" t="s">
        <v>2613</v>
      </c>
      <c r="C45" s="3" t="s">
        <v>2614</v>
      </c>
    </row>
    <row r="46" spans="1:3" ht="36" customHeight="1">
      <c r="A46" s="2" t="s">
        <v>217</v>
      </c>
      <c r="B46" s="2" t="s">
        <v>2615</v>
      </c>
      <c r="C46" s="2" t="s">
        <v>2616</v>
      </c>
    </row>
    <row r="47" spans="1:3" ht="36" customHeight="1">
      <c r="A47" s="3" t="s">
        <v>221</v>
      </c>
      <c r="B47" s="3" t="s">
        <v>2617</v>
      </c>
      <c r="C47" s="3" t="s">
        <v>2618</v>
      </c>
    </row>
    <row r="48" spans="1:3" ht="36" customHeight="1">
      <c r="A48" s="2" t="s">
        <v>225</v>
      </c>
      <c r="B48" s="2" t="s">
        <v>2619</v>
      </c>
      <c r="C48" s="2" t="s">
        <v>2620</v>
      </c>
    </row>
    <row r="49" spans="1:3" ht="36" customHeight="1">
      <c r="A49" s="3" t="s">
        <v>2621</v>
      </c>
      <c r="B49" s="3" t="s">
        <v>2622</v>
      </c>
      <c r="C49" s="3" t="s">
        <v>2623</v>
      </c>
    </row>
    <row r="51" spans="1:3" ht="22.5" customHeight="1">
      <c r="A51" s="11" t="s">
        <v>2624</v>
      </c>
      <c r="B51" s="11"/>
      <c r="C51" s="11"/>
    </row>
    <row r="52" spans="1:3" ht="36" customHeight="1">
      <c r="A52" s="4" t="s">
        <v>2625</v>
      </c>
    </row>
    <row r="53" spans="1:3" ht="36" customHeight="1">
      <c r="A53" s="3" t="s">
        <v>2626</v>
      </c>
    </row>
    <row r="54" spans="1:3" ht="36" customHeight="1">
      <c r="A54" s="2" t="s">
        <v>2627</v>
      </c>
      <c r="B54" s="2" t="s">
        <v>2553</v>
      </c>
      <c r="C54" s="2" t="s">
        <v>2628</v>
      </c>
    </row>
    <row r="55" spans="1:3" ht="36" customHeight="1">
      <c r="A55" s="3" t="s">
        <v>2629</v>
      </c>
      <c r="B55" s="3" t="s">
        <v>2630</v>
      </c>
      <c r="C55" s="3" t="s">
        <v>2631</v>
      </c>
    </row>
    <row r="56" spans="1:3" ht="36" customHeight="1">
      <c r="A56" s="2" t="s">
        <v>2632</v>
      </c>
      <c r="B56" s="2" t="s">
        <v>2633</v>
      </c>
      <c r="C56" s="2" t="s">
        <v>2634</v>
      </c>
    </row>
    <row r="57" spans="1:3" ht="36" customHeight="1">
      <c r="A57" s="3" t="s">
        <v>2635</v>
      </c>
      <c r="B57" s="3" t="s">
        <v>2636</v>
      </c>
      <c r="C57" s="3" t="s">
        <v>2637</v>
      </c>
    </row>
    <row r="58" spans="1:3" ht="36" customHeight="1">
      <c r="A58" s="2" t="s">
        <v>145</v>
      </c>
      <c r="B58" s="2" t="s">
        <v>2638</v>
      </c>
      <c r="C58" s="2" t="s">
        <v>2639</v>
      </c>
    </row>
    <row r="59" spans="1:3" ht="36" customHeight="1">
      <c r="A59" s="3" t="s">
        <v>2640</v>
      </c>
      <c r="B59" s="3" t="s">
        <v>2641</v>
      </c>
      <c r="C59" s="3" t="s">
        <v>2642</v>
      </c>
    </row>
    <row r="60" spans="1:3" ht="36" customHeight="1">
      <c r="A60" s="2" t="s">
        <v>2643</v>
      </c>
      <c r="B60" s="2" t="s">
        <v>2644</v>
      </c>
      <c r="C60" s="2" t="s">
        <v>2645</v>
      </c>
    </row>
    <row r="61" spans="1:3" ht="36" customHeight="1">
      <c r="A61" s="3" t="s">
        <v>2646</v>
      </c>
      <c r="B61" s="3" t="s">
        <v>2647</v>
      </c>
      <c r="C61" s="3" t="s">
        <v>2648</v>
      </c>
    </row>
    <row r="62" spans="1:3" ht="36" customHeight="1">
      <c r="A62" s="2" t="s">
        <v>2649</v>
      </c>
      <c r="B62" s="2" t="s">
        <v>2650</v>
      </c>
      <c r="C62" s="2" t="s">
        <v>2651</v>
      </c>
    </row>
    <row r="63" spans="1:3" ht="36" customHeight="1">
      <c r="A63" s="3" t="s">
        <v>2652</v>
      </c>
      <c r="B63" s="3" t="s">
        <v>2653</v>
      </c>
      <c r="C63" s="3" t="s">
        <v>2654</v>
      </c>
    </row>
    <row r="64" spans="1:3" ht="36" customHeight="1">
      <c r="A64" s="2" t="s">
        <v>2655</v>
      </c>
      <c r="B64" s="2" t="s">
        <v>2656</v>
      </c>
      <c r="C64" s="2" t="s">
        <v>2657</v>
      </c>
    </row>
    <row r="65" spans="1:3" ht="36" customHeight="1">
      <c r="A65" s="3" t="s">
        <v>2658</v>
      </c>
      <c r="B65" s="3" t="s">
        <v>2659</v>
      </c>
      <c r="C65" s="3" t="s">
        <v>2660</v>
      </c>
    </row>
    <row r="66" spans="1:3" ht="36" customHeight="1">
      <c r="A66" s="2" t="s">
        <v>2661</v>
      </c>
      <c r="B66" s="2" t="s">
        <v>2662</v>
      </c>
      <c r="C66" s="2" t="s">
        <v>2663</v>
      </c>
    </row>
    <row r="67" spans="1:3" ht="36" customHeight="1">
      <c r="A67" s="3" t="s">
        <v>2664</v>
      </c>
      <c r="B67" s="3" t="s">
        <v>2665</v>
      </c>
      <c r="C67" s="3" t="s">
        <v>2666</v>
      </c>
    </row>
    <row r="68" spans="1:3" ht="36" customHeight="1">
      <c r="A68" s="2" t="s">
        <v>782</v>
      </c>
      <c r="B68" s="2" t="s">
        <v>2667</v>
      </c>
      <c r="C68" s="2" t="s">
        <v>2668</v>
      </c>
    </row>
    <row r="69" spans="1:3" ht="36" customHeight="1">
      <c r="A69" s="3" t="s">
        <v>103</v>
      </c>
      <c r="B69" s="3" t="s">
        <v>2669</v>
      </c>
      <c r="C69" s="3" t="s">
        <v>2670</v>
      </c>
    </row>
    <row r="70" spans="1:3" ht="36" customHeight="1">
      <c r="A70" s="2" t="s">
        <v>779</v>
      </c>
      <c r="B70" s="2" t="s">
        <v>2671</v>
      </c>
      <c r="C70" s="2" t="s">
        <v>2672</v>
      </c>
    </row>
    <row r="71" spans="1:3" ht="36" customHeight="1">
      <c r="A71" s="3" t="s">
        <v>2673</v>
      </c>
      <c r="B71" s="3" t="s">
        <v>2674</v>
      </c>
      <c r="C71" s="3" t="s">
        <v>2675</v>
      </c>
    </row>
    <row r="72" spans="1:3" ht="36" customHeight="1">
      <c r="A72" s="2" t="s">
        <v>2676</v>
      </c>
      <c r="B72" s="2" t="s">
        <v>2677</v>
      </c>
      <c r="C72" s="2" t="s">
        <v>2678</v>
      </c>
    </row>
    <row r="73" spans="1:3" ht="36" customHeight="1">
      <c r="A73" s="3" t="s">
        <v>2679</v>
      </c>
      <c r="B73" s="3" t="s">
        <v>2680</v>
      </c>
      <c r="C73" s="3" t="s">
        <v>2681</v>
      </c>
    </row>
    <row r="74" spans="1:3" ht="36" customHeight="1">
      <c r="A74" s="2" t="s">
        <v>105</v>
      </c>
      <c r="B74" s="2" t="s">
        <v>2682</v>
      </c>
      <c r="C74" s="2" t="s">
        <v>2683</v>
      </c>
    </row>
    <row r="75" spans="1:3" ht="36" customHeight="1">
      <c r="A75" s="3" t="s">
        <v>107</v>
      </c>
      <c r="B75" s="3" t="s">
        <v>2684</v>
      </c>
      <c r="C75" s="3" t="s">
        <v>2685</v>
      </c>
    </row>
    <row r="76" spans="1:3" ht="36" customHeight="1">
      <c r="A76" s="2" t="s">
        <v>889</v>
      </c>
      <c r="B76" s="2" t="s">
        <v>2686</v>
      </c>
      <c r="C76" s="2" t="s">
        <v>2687</v>
      </c>
    </row>
    <row r="77" spans="1:3" ht="36" customHeight="1">
      <c r="A77" s="3" t="s">
        <v>2688</v>
      </c>
      <c r="B77" s="3" t="s">
        <v>2689</v>
      </c>
      <c r="C77" s="3" t="s">
        <v>2690</v>
      </c>
    </row>
    <row r="79" spans="1:3" ht="22.5" customHeight="1">
      <c r="A79" s="11" t="s">
        <v>2691</v>
      </c>
      <c r="B79" s="11"/>
      <c r="C79" s="11"/>
    </row>
    <row r="80" spans="1:3" ht="36" customHeight="1">
      <c r="A80" s="4" t="s">
        <v>2692</v>
      </c>
    </row>
    <row r="81" spans="1:3" ht="36" customHeight="1">
      <c r="A81" s="3" t="s">
        <v>2693</v>
      </c>
    </row>
    <row r="82" spans="1:3" ht="36" customHeight="1">
      <c r="A82" s="2" t="s">
        <v>2182</v>
      </c>
      <c r="B82" s="2" t="s">
        <v>2532</v>
      </c>
      <c r="C82" s="2" t="s">
        <v>2694</v>
      </c>
    </row>
    <row r="83" spans="1:3" ht="36" customHeight="1">
      <c r="A83" s="3" t="s">
        <v>2695</v>
      </c>
      <c r="B83" s="3" t="s">
        <v>2696</v>
      </c>
      <c r="C83" s="3" t="s">
        <v>2697</v>
      </c>
    </row>
    <row r="84" spans="1:3" ht="36" customHeight="1">
      <c r="A84" s="2" t="s">
        <v>2698</v>
      </c>
      <c r="B84" s="2" t="s">
        <v>2699</v>
      </c>
      <c r="C84" s="2" t="s">
        <v>2700</v>
      </c>
    </row>
    <row r="85" spans="1:3" ht="36" customHeight="1">
      <c r="A85" s="3" t="s">
        <v>135</v>
      </c>
      <c r="B85" s="3" t="s">
        <v>2701</v>
      </c>
      <c r="C85" s="3" t="s">
        <v>2702</v>
      </c>
    </row>
    <row r="86" spans="1:3" ht="36" customHeight="1">
      <c r="A86" s="2" t="s">
        <v>129</v>
      </c>
      <c r="B86" s="2" t="s">
        <v>2703</v>
      </c>
      <c r="C86" s="2" t="s">
        <v>2704</v>
      </c>
    </row>
    <row r="87" spans="1:3" ht="36" customHeight="1">
      <c r="A87" s="3" t="s">
        <v>2705</v>
      </c>
      <c r="B87" s="3" t="s">
        <v>2706</v>
      </c>
      <c r="C87" s="3" t="s">
        <v>2707</v>
      </c>
    </row>
    <row r="88" spans="1:3" ht="36" customHeight="1">
      <c r="A88" s="2" t="s">
        <v>2708</v>
      </c>
      <c r="B88" s="2" t="s">
        <v>2709</v>
      </c>
      <c r="C88" s="2" t="s">
        <v>2710</v>
      </c>
    </row>
    <row r="89" spans="1:3" ht="36" customHeight="1">
      <c r="A89" s="3" t="s">
        <v>917</v>
      </c>
      <c r="B89" s="3" t="s">
        <v>2711</v>
      </c>
      <c r="C89" s="3" t="s">
        <v>2712</v>
      </c>
    </row>
    <row r="90" spans="1:3" ht="36" customHeight="1">
      <c r="A90" s="2" t="s">
        <v>2713</v>
      </c>
      <c r="B90" s="2" t="s">
        <v>2714</v>
      </c>
      <c r="C90" s="2" t="s">
        <v>2715</v>
      </c>
    </row>
    <row r="91" spans="1:3" ht="36" customHeight="1">
      <c r="A91" s="3" t="s">
        <v>2716</v>
      </c>
      <c r="B91" s="3" t="s">
        <v>2717</v>
      </c>
      <c r="C91" s="3" t="s">
        <v>2718</v>
      </c>
    </row>
    <row r="92" spans="1:3" ht="36" customHeight="1">
      <c r="A92" s="2" t="s">
        <v>835</v>
      </c>
      <c r="B92" s="2" t="s">
        <v>2719</v>
      </c>
      <c r="C92" s="2" t="s">
        <v>2720</v>
      </c>
    </row>
    <row r="93" spans="1:3" ht="36" customHeight="1">
      <c r="A93" s="3" t="s">
        <v>1923</v>
      </c>
      <c r="B93" s="3" t="s">
        <v>2721</v>
      </c>
      <c r="C93" s="3" t="s">
        <v>2722</v>
      </c>
    </row>
    <row r="94" spans="1:3" ht="36" customHeight="1">
      <c r="A94" s="2" t="s">
        <v>2723</v>
      </c>
      <c r="B94" s="2" t="s">
        <v>2724</v>
      </c>
      <c r="C94" s="2" t="s">
        <v>2725</v>
      </c>
    </row>
    <row r="95" spans="1:3" ht="36" customHeight="1">
      <c r="A95" s="3" t="s">
        <v>2726</v>
      </c>
      <c r="B95" s="3" t="s">
        <v>2727</v>
      </c>
      <c r="C95" s="3" t="s">
        <v>2728</v>
      </c>
    </row>
  </sheetData>
  <mergeCells count="7">
    <mergeCell ref="A51:C51"/>
    <mergeCell ref="A79:C79"/>
    <mergeCell ref="A1:H1"/>
    <mergeCell ref="A2:H2"/>
    <mergeCell ref="A4:C4"/>
    <mergeCell ref="A15:C15"/>
    <mergeCell ref="A39:C39"/>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83"/>
  <sheetViews>
    <sheetView showGridLines="0" zoomScaleNormal="100" workbookViewId="0">
      <pane ySplit="4" topLeftCell="A5" activePane="bottomLeft" state="frozen"/>
      <selection pane="bottomLeft"/>
    </sheetView>
  </sheetViews>
  <sheetFormatPr defaultColWidth="8.7109375" defaultRowHeight="15"/>
  <cols>
    <col min="1" max="1" width="30" customWidth="1"/>
    <col min="2" max="3" width="44" customWidth="1"/>
  </cols>
  <sheetData>
    <row r="1" spans="1:8" ht="27.75" customHeight="1">
      <c r="A1" s="12" t="s">
        <v>32</v>
      </c>
      <c r="B1" s="12"/>
      <c r="C1" s="12"/>
      <c r="D1" s="12"/>
      <c r="E1" s="12"/>
      <c r="F1" s="12"/>
      <c r="G1" s="12"/>
      <c r="H1" s="12"/>
    </row>
    <row r="2" spans="1:8" ht="33.75" customHeight="1">
      <c r="A2" s="13" t="s">
        <v>33</v>
      </c>
      <c r="B2" s="13"/>
      <c r="C2" s="13"/>
      <c r="D2" s="13"/>
      <c r="E2" s="13"/>
      <c r="F2" s="13"/>
      <c r="G2" s="13"/>
      <c r="H2" s="13"/>
    </row>
    <row r="4" spans="1:8" ht="22.5" customHeight="1">
      <c r="A4" s="11" t="s">
        <v>2729</v>
      </c>
      <c r="B4" s="11"/>
      <c r="C4" s="11"/>
    </row>
    <row r="5" spans="1:8" ht="36" customHeight="1">
      <c r="A5" s="4" t="s">
        <v>2730</v>
      </c>
    </row>
    <row r="6" spans="1:8" ht="36" customHeight="1">
      <c r="A6" s="3" t="s">
        <v>2731</v>
      </c>
    </row>
    <row r="7" spans="1:8" ht="36" customHeight="1">
      <c r="A7" s="2" t="s">
        <v>2732</v>
      </c>
      <c r="B7" s="2" t="s">
        <v>2733</v>
      </c>
      <c r="C7" s="2" t="s">
        <v>2734</v>
      </c>
    </row>
    <row r="8" spans="1:8" ht="36" customHeight="1">
      <c r="A8" s="3" t="s">
        <v>2735</v>
      </c>
      <c r="B8" s="3" t="s">
        <v>2736</v>
      </c>
      <c r="C8" s="3" t="s">
        <v>2737</v>
      </c>
    </row>
    <row r="9" spans="1:8" ht="36" customHeight="1">
      <c r="A9" s="2" t="s">
        <v>2738</v>
      </c>
      <c r="B9" s="2" t="s">
        <v>2739</v>
      </c>
      <c r="C9" s="2" t="s">
        <v>2740</v>
      </c>
    </row>
    <row r="10" spans="1:8" ht="36" customHeight="1">
      <c r="A10" s="3" t="s">
        <v>2741</v>
      </c>
      <c r="B10" s="3" t="s">
        <v>2742</v>
      </c>
      <c r="C10" s="3" t="s">
        <v>2743</v>
      </c>
    </row>
    <row r="11" spans="1:8" ht="36" customHeight="1">
      <c r="A11" s="2" t="s">
        <v>2744</v>
      </c>
      <c r="B11" s="2" t="s">
        <v>2745</v>
      </c>
      <c r="C11" s="2" t="s">
        <v>2746</v>
      </c>
    </row>
    <row r="12" spans="1:8" ht="36" customHeight="1">
      <c r="A12" s="3" t="s">
        <v>255</v>
      </c>
      <c r="B12" s="3" t="s">
        <v>2747</v>
      </c>
      <c r="C12" s="3" t="s">
        <v>2748</v>
      </c>
    </row>
    <row r="13" spans="1:8" ht="36" customHeight="1">
      <c r="A13" s="2" t="s">
        <v>258</v>
      </c>
      <c r="B13" s="2" t="s">
        <v>2749</v>
      </c>
      <c r="C13" s="2" t="s">
        <v>2750</v>
      </c>
    </row>
    <row r="14" spans="1:8" ht="36" customHeight="1">
      <c r="A14" s="3" t="s">
        <v>2751</v>
      </c>
      <c r="B14" s="3" t="s">
        <v>2752</v>
      </c>
      <c r="C14" s="3" t="s">
        <v>2753</v>
      </c>
    </row>
    <row r="15" spans="1:8" ht="36" customHeight="1">
      <c r="A15" s="2" t="s">
        <v>265</v>
      </c>
      <c r="B15" s="2" t="s">
        <v>2754</v>
      </c>
      <c r="C15" s="2" t="s">
        <v>2755</v>
      </c>
    </row>
    <row r="16" spans="1:8" ht="36" customHeight="1">
      <c r="A16" s="3" t="s">
        <v>984</v>
      </c>
      <c r="B16" s="3" t="s">
        <v>2756</v>
      </c>
      <c r="C16" s="3" t="s">
        <v>2757</v>
      </c>
    </row>
    <row r="17" spans="1:3" ht="36" customHeight="1">
      <c r="A17" s="2" t="s">
        <v>267</v>
      </c>
      <c r="B17" s="2" t="s">
        <v>2758</v>
      </c>
      <c r="C17" s="2" t="s">
        <v>2759</v>
      </c>
    </row>
    <row r="18" spans="1:3" ht="36" customHeight="1">
      <c r="A18" s="3" t="s">
        <v>59</v>
      </c>
      <c r="B18" s="3" t="s">
        <v>2760</v>
      </c>
      <c r="C18" s="3" t="s">
        <v>2761</v>
      </c>
    </row>
    <row r="20" spans="1:3" ht="22.5" customHeight="1">
      <c r="A20" s="11" t="s">
        <v>2762</v>
      </c>
      <c r="B20" s="11"/>
      <c r="C20" s="11"/>
    </row>
    <row r="21" spans="1:3" ht="36" customHeight="1">
      <c r="A21" s="4" t="s">
        <v>2763</v>
      </c>
    </row>
    <row r="22" spans="1:3" ht="36" customHeight="1">
      <c r="A22" s="3" t="s">
        <v>2764</v>
      </c>
    </row>
    <row r="23" spans="1:3" ht="36" customHeight="1">
      <c r="A23" s="2" t="s">
        <v>2765</v>
      </c>
      <c r="B23" s="2" t="s">
        <v>232</v>
      </c>
      <c r="C23" s="2" t="s">
        <v>204</v>
      </c>
    </row>
    <row r="24" spans="1:3" ht="36" customHeight="1">
      <c r="A24" s="3" t="s">
        <v>2766</v>
      </c>
      <c r="B24" s="3" t="s">
        <v>2767</v>
      </c>
      <c r="C24" s="3" t="s">
        <v>2768</v>
      </c>
    </row>
    <row r="25" spans="1:3" ht="36" customHeight="1">
      <c r="A25" s="2" t="s">
        <v>2769</v>
      </c>
      <c r="B25" s="2" t="s">
        <v>2770</v>
      </c>
      <c r="C25" s="2" t="s">
        <v>2771</v>
      </c>
    </row>
    <row r="26" spans="1:3" ht="36" customHeight="1">
      <c r="A26" s="3" t="s">
        <v>747</v>
      </c>
      <c r="B26" s="3" t="s">
        <v>2772</v>
      </c>
      <c r="C26" s="3" t="s">
        <v>2773</v>
      </c>
    </row>
    <row r="27" spans="1:3" ht="36" customHeight="1">
      <c r="A27" s="2" t="s">
        <v>145</v>
      </c>
      <c r="B27" s="2" t="s">
        <v>2774</v>
      </c>
      <c r="C27" s="2" t="s">
        <v>2775</v>
      </c>
    </row>
    <row r="28" spans="1:3" ht="36" customHeight="1">
      <c r="A28" s="3" t="s">
        <v>2569</v>
      </c>
      <c r="B28" s="3" t="s">
        <v>2776</v>
      </c>
      <c r="C28" s="3" t="s">
        <v>2777</v>
      </c>
    </row>
    <row r="29" spans="1:3" ht="36" customHeight="1">
      <c r="A29" s="2" t="s">
        <v>2572</v>
      </c>
      <c r="B29" s="2" t="s">
        <v>2778</v>
      </c>
      <c r="C29" s="2" t="s">
        <v>2779</v>
      </c>
    </row>
    <row r="30" spans="1:3" ht="36" customHeight="1">
      <c r="A30" s="3" t="s">
        <v>2575</v>
      </c>
      <c r="B30" s="3" t="s">
        <v>2780</v>
      </c>
      <c r="C30" s="3" t="s">
        <v>2781</v>
      </c>
    </row>
    <row r="31" spans="1:3" ht="36" customHeight="1">
      <c r="A31" s="2" t="s">
        <v>2578</v>
      </c>
      <c r="B31" s="2" t="s">
        <v>2782</v>
      </c>
      <c r="C31" s="2" t="s">
        <v>2783</v>
      </c>
    </row>
    <row r="32" spans="1:3" ht="36" customHeight="1">
      <c r="A32" s="3" t="s">
        <v>2581</v>
      </c>
      <c r="B32" s="3" t="s">
        <v>2784</v>
      </c>
      <c r="C32" s="3" t="s">
        <v>2785</v>
      </c>
    </row>
    <row r="33" spans="1:3" ht="36" customHeight="1">
      <c r="A33" s="2" t="s">
        <v>2584</v>
      </c>
      <c r="B33" s="2" t="s">
        <v>2786</v>
      </c>
      <c r="C33" s="2" t="s">
        <v>2787</v>
      </c>
    </row>
    <row r="35" spans="1:3" ht="22.5" customHeight="1">
      <c r="A35" s="11" t="s">
        <v>2788</v>
      </c>
      <c r="B35" s="11"/>
      <c r="C35" s="11"/>
    </row>
    <row r="36" spans="1:3" ht="36" customHeight="1">
      <c r="A36" s="4" t="s">
        <v>2789</v>
      </c>
    </row>
    <row r="37" spans="1:3" ht="36" customHeight="1">
      <c r="A37" s="3" t="s">
        <v>2790</v>
      </c>
    </row>
    <row r="38" spans="1:3" ht="36" customHeight="1">
      <c r="A38" s="2" t="s">
        <v>2182</v>
      </c>
      <c r="B38" s="2" t="s">
        <v>2791</v>
      </c>
      <c r="C38" s="2" t="s">
        <v>204</v>
      </c>
    </row>
    <row r="39" spans="1:3" ht="36" customHeight="1">
      <c r="A39" s="3" t="s">
        <v>2792</v>
      </c>
      <c r="B39" s="3" t="s">
        <v>2793</v>
      </c>
      <c r="C39" s="3" t="s">
        <v>2794</v>
      </c>
    </row>
    <row r="40" spans="1:3" ht="36" customHeight="1">
      <c r="A40" s="2" t="s">
        <v>2769</v>
      </c>
      <c r="B40" s="2" t="s">
        <v>2795</v>
      </c>
      <c r="C40" s="2" t="s">
        <v>2796</v>
      </c>
    </row>
    <row r="41" spans="1:3" ht="36" customHeight="1">
      <c r="A41" s="3" t="s">
        <v>2566</v>
      </c>
      <c r="B41" s="3" t="s">
        <v>2797</v>
      </c>
      <c r="C41" s="3" t="s">
        <v>2798</v>
      </c>
    </row>
    <row r="42" spans="1:3" ht="36" customHeight="1">
      <c r="A42" s="2" t="s">
        <v>2799</v>
      </c>
      <c r="B42" s="2" t="s">
        <v>2800</v>
      </c>
      <c r="C42" s="2" t="s">
        <v>2801</v>
      </c>
    </row>
    <row r="43" spans="1:3" ht="36" customHeight="1">
      <c r="A43" s="3" t="s">
        <v>2802</v>
      </c>
      <c r="B43" s="3" t="s">
        <v>2803</v>
      </c>
      <c r="C43" s="3" t="s">
        <v>2804</v>
      </c>
    </row>
    <row r="44" spans="1:3" ht="36" customHeight="1">
      <c r="A44" s="2" t="s">
        <v>2805</v>
      </c>
      <c r="B44" s="2" t="s">
        <v>2806</v>
      </c>
      <c r="C44" s="2" t="s">
        <v>2807</v>
      </c>
    </row>
    <row r="45" spans="1:3" ht="36" customHeight="1">
      <c r="A45" s="3" t="s">
        <v>2808</v>
      </c>
      <c r="B45" s="3" t="s">
        <v>2809</v>
      </c>
      <c r="C45" s="3" t="s">
        <v>2810</v>
      </c>
    </row>
    <row r="46" spans="1:3" ht="36" customHeight="1">
      <c r="A46" s="2" t="s">
        <v>2664</v>
      </c>
      <c r="B46" s="2" t="s">
        <v>2811</v>
      </c>
      <c r="C46" s="2" t="s">
        <v>2812</v>
      </c>
    </row>
    <row r="48" spans="1:3" ht="22.5" customHeight="1">
      <c r="A48" s="11" t="s">
        <v>2813</v>
      </c>
      <c r="B48" s="11"/>
      <c r="C48" s="11"/>
    </row>
    <row r="49" spans="1:3" ht="36" customHeight="1">
      <c r="A49" s="4" t="s">
        <v>2814</v>
      </c>
    </row>
    <row r="50" spans="1:3" ht="36" customHeight="1">
      <c r="A50" s="3" t="s">
        <v>2815</v>
      </c>
    </row>
    <row r="51" spans="1:3" ht="36" customHeight="1">
      <c r="A51" s="2" t="s">
        <v>2816</v>
      </c>
      <c r="B51" s="2" t="s">
        <v>2817</v>
      </c>
      <c r="C51" s="2" t="s">
        <v>204</v>
      </c>
    </row>
    <row r="52" spans="1:3" ht="36" customHeight="1">
      <c r="A52" s="3" t="s">
        <v>2818</v>
      </c>
      <c r="B52" s="3" t="s">
        <v>2819</v>
      </c>
      <c r="C52" s="3" t="s">
        <v>2820</v>
      </c>
    </row>
    <row r="53" spans="1:3" ht="36" customHeight="1">
      <c r="A53" s="2" t="s">
        <v>2821</v>
      </c>
      <c r="B53" s="2" t="s">
        <v>2822</v>
      </c>
      <c r="C53" s="2" t="s">
        <v>2823</v>
      </c>
    </row>
    <row r="54" spans="1:3" ht="36" customHeight="1">
      <c r="A54" s="3" t="s">
        <v>2824</v>
      </c>
      <c r="B54" s="3" t="s">
        <v>2825</v>
      </c>
      <c r="C54" s="3" t="s">
        <v>2826</v>
      </c>
    </row>
    <row r="55" spans="1:3" ht="36" customHeight="1">
      <c r="A55" s="2" t="s">
        <v>1763</v>
      </c>
      <c r="B55" s="2" t="s">
        <v>2827</v>
      </c>
      <c r="C55" s="2" t="s">
        <v>2828</v>
      </c>
    </row>
    <row r="56" spans="1:3" ht="36" customHeight="1">
      <c r="A56" s="3" t="s">
        <v>285</v>
      </c>
      <c r="B56" s="3" t="s">
        <v>2829</v>
      </c>
      <c r="C56" s="3" t="s">
        <v>2830</v>
      </c>
    </row>
    <row r="57" spans="1:3" ht="36" customHeight="1">
      <c r="A57" s="2" t="s">
        <v>2831</v>
      </c>
      <c r="B57" s="2" t="s">
        <v>2832</v>
      </c>
      <c r="C57" s="2" t="s">
        <v>2833</v>
      </c>
    </row>
    <row r="58" spans="1:3" ht="36" customHeight="1">
      <c r="A58" s="3" t="s">
        <v>2834</v>
      </c>
      <c r="B58" s="3" t="s">
        <v>2835</v>
      </c>
      <c r="C58" s="3" t="s">
        <v>2836</v>
      </c>
    </row>
    <row r="59" spans="1:3" ht="36" customHeight="1">
      <c r="A59" s="2" t="s">
        <v>2837</v>
      </c>
      <c r="B59" s="2" t="s">
        <v>2838</v>
      </c>
      <c r="C59" s="2" t="s">
        <v>2839</v>
      </c>
    </row>
    <row r="60" spans="1:3" ht="36" customHeight="1">
      <c r="A60" s="3" t="s">
        <v>2840</v>
      </c>
      <c r="B60" s="3" t="s">
        <v>2841</v>
      </c>
      <c r="C60" s="3" t="s">
        <v>2842</v>
      </c>
    </row>
    <row r="61" spans="1:3" ht="36" customHeight="1">
      <c r="A61" s="2" t="s">
        <v>2843</v>
      </c>
      <c r="B61" s="2" t="s">
        <v>2844</v>
      </c>
      <c r="C61" s="2" t="s">
        <v>2845</v>
      </c>
    </row>
    <row r="63" spans="1:3" ht="22.5" customHeight="1">
      <c r="A63" s="11" t="s">
        <v>2846</v>
      </c>
      <c r="B63" s="11"/>
      <c r="C63" s="11"/>
    </row>
    <row r="64" spans="1:3" ht="36" customHeight="1">
      <c r="A64" s="4" t="s">
        <v>2847</v>
      </c>
    </row>
    <row r="65" spans="1:3" ht="36" customHeight="1">
      <c r="A65" s="3" t="s">
        <v>2848</v>
      </c>
    </row>
    <row r="66" spans="1:3" ht="36" customHeight="1">
      <c r="A66" s="2" t="s">
        <v>2182</v>
      </c>
      <c r="B66" s="2" t="s">
        <v>2532</v>
      </c>
      <c r="C66" s="2" t="s">
        <v>2849</v>
      </c>
    </row>
    <row r="67" spans="1:3" ht="36" customHeight="1">
      <c r="A67" s="3" t="s">
        <v>2850</v>
      </c>
      <c r="B67" s="3" t="s">
        <v>2851</v>
      </c>
      <c r="C67" s="3" t="s">
        <v>2852</v>
      </c>
    </row>
    <row r="68" spans="1:3" ht="36" customHeight="1">
      <c r="A68" s="2" t="s">
        <v>2853</v>
      </c>
      <c r="B68" s="2" t="s">
        <v>2854</v>
      </c>
      <c r="C68" s="2" t="s">
        <v>2855</v>
      </c>
    </row>
    <row r="69" spans="1:3" ht="36" customHeight="1">
      <c r="A69" s="3" t="s">
        <v>2856</v>
      </c>
      <c r="B69" s="3" t="s">
        <v>2857</v>
      </c>
      <c r="C69" s="3" t="s">
        <v>2858</v>
      </c>
    </row>
    <row r="70" spans="1:3" ht="36" customHeight="1">
      <c r="A70" s="2" t="s">
        <v>2859</v>
      </c>
      <c r="B70" s="2" t="s">
        <v>2860</v>
      </c>
      <c r="C70" s="2" t="s">
        <v>2861</v>
      </c>
    </row>
    <row r="71" spans="1:3" ht="36" customHeight="1">
      <c r="A71" s="3" t="s">
        <v>2862</v>
      </c>
      <c r="B71" s="3" t="s">
        <v>2863</v>
      </c>
      <c r="C71" s="3" t="s">
        <v>2864</v>
      </c>
    </row>
    <row r="72" spans="1:3" ht="36" customHeight="1">
      <c r="A72" s="2" t="s">
        <v>2865</v>
      </c>
      <c r="B72" s="2" t="s">
        <v>2866</v>
      </c>
      <c r="C72" s="2" t="s">
        <v>2867</v>
      </c>
    </row>
    <row r="73" spans="1:3" ht="36" customHeight="1">
      <c r="A73" s="3" t="s">
        <v>2868</v>
      </c>
      <c r="B73" s="3" t="s">
        <v>2869</v>
      </c>
      <c r="C73" s="3" t="s">
        <v>2870</v>
      </c>
    </row>
    <row r="74" spans="1:3" ht="36" customHeight="1">
      <c r="A74" s="2" t="s">
        <v>2871</v>
      </c>
      <c r="B74" s="2" t="s">
        <v>2872</v>
      </c>
      <c r="C74" s="2" t="s">
        <v>2873</v>
      </c>
    </row>
    <row r="75" spans="1:3" ht="36" customHeight="1">
      <c r="A75" s="3" t="s">
        <v>2874</v>
      </c>
      <c r="B75" s="3" t="s">
        <v>2875</v>
      </c>
      <c r="C75" s="3" t="s">
        <v>2876</v>
      </c>
    </row>
    <row r="76" spans="1:3" ht="36" customHeight="1">
      <c r="A76" s="2" t="s">
        <v>2877</v>
      </c>
      <c r="B76" s="2" t="s">
        <v>2878</v>
      </c>
      <c r="C76" s="2" t="s">
        <v>2879</v>
      </c>
    </row>
    <row r="77" spans="1:3" ht="36" customHeight="1">
      <c r="A77" s="3" t="s">
        <v>2880</v>
      </c>
      <c r="B77" s="3" t="s">
        <v>2881</v>
      </c>
      <c r="C77" s="3" t="s">
        <v>2882</v>
      </c>
    </row>
    <row r="78" spans="1:3" ht="36" customHeight="1">
      <c r="A78" s="2" t="s">
        <v>2267</v>
      </c>
      <c r="B78" s="2" t="s">
        <v>2883</v>
      </c>
      <c r="C78" s="2" t="s">
        <v>2884</v>
      </c>
    </row>
    <row r="79" spans="1:3" ht="36" customHeight="1">
      <c r="A79" s="3" t="s">
        <v>2885</v>
      </c>
      <c r="B79" s="3" t="s">
        <v>2886</v>
      </c>
      <c r="C79" s="3" t="s">
        <v>2887</v>
      </c>
    </row>
    <row r="80" spans="1:3" ht="36" customHeight="1">
      <c r="A80" s="2" t="s">
        <v>2888</v>
      </c>
      <c r="B80" s="2" t="s">
        <v>2889</v>
      </c>
      <c r="C80" s="2" t="s">
        <v>2890</v>
      </c>
    </row>
    <row r="81" spans="1:3" ht="36" customHeight="1">
      <c r="A81" s="3" t="s">
        <v>2258</v>
      </c>
      <c r="B81" s="3" t="s">
        <v>2891</v>
      </c>
      <c r="C81" s="3" t="s">
        <v>2892</v>
      </c>
    </row>
    <row r="82" spans="1:3" ht="36" customHeight="1">
      <c r="A82" s="2" t="s">
        <v>2893</v>
      </c>
      <c r="B82" s="2" t="s">
        <v>2894</v>
      </c>
      <c r="C82" s="2" t="s">
        <v>2895</v>
      </c>
    </row>
    <row r="83" spans="1:3" ht="36" customHeight="1">
      <c r="A83" s="3" t="s">
        <v>2896</v>
      </c>
      <c r="B83" s="3" t="s">
        <v>2897</v>
      </c>
      <c r="C83" s="3" t="s">
        <v>2898</v>
      </c>
    </row>
  </sheetData>
  <mergeCells count="7">
    <mergeCell ref="A48:C48"/>
    <mergeCell ref="A63:C63"/>
    <mergeCell ref="A1:H1"/>
    <mergeCell ref="A2:H2"/>
    <mergeCell ref="A4:C4"/>
    <mergeCell ref="A20:C20"/>
    <mergeCell ref="A35:C35"/>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41"/>
  <sheetViews>
    <sheetView showGridLines="0" zoomScaleNormal="100" workbookViewId="0">
      <pane ySplit="4" topLeftCell="A5" activePane="bottomLeft" state="frozen"/>
      <selection pane="bottomLeft"/>
    </sheetView>
  </sheetViews>
  <sheetFormatPr defaultColWidth="8.7109375" defaultRowHeight="15"/>
  <cols>
    <col min="1" max="1" width="30" customWidth="1"/>
    <col min="2" max="3" width="44" customWidth="1"/>
    <col min="4" max="4" width="24" customWidth="1"/>
  </cols>
  <sheetData>
    <row r="1" spans="1:8" ht="27.75" customHeight="1">
      <c r="A1" s="12" t="s">
        <v>34</v>
      </c>
      <c r="B1" s="12"/>
      <c r="C1" s="12"/>
      <c r="D1" s="12"/>
      <c r="E1" s="12"/>
      <c r="F1" s="12"/>
      <c r="G1" s="12"/>
      <c r="H1" s="12"/>
    </row>
    <row r="2" spans="1:8" ht="33.75" customHeight="1">
      <c r="A2" s="13" t="s">
        <v>35</v>
      </c>
      <c r="B2" s="13"/>
      <c r="C2" s="13"/>
      <c r="D2" s="13"/>
      <c r="E2" s="13"/>
      <c r="F2" s="13"/>
      <c r="G2" s="13"/>
      <c r="H2" s="13"/>
    </row>
    <row r="4" spans="1:8" ht="22.5" customHeight="1">
      <c r="A4" s="11" t="s">
        <v>2899</v>
      </c>
      <c r="B4" s="11"/>
      <c r="C4" s="11"/>
    </row>
    <row r="5" spans="1:8" ht="36" customHeight="1">
      <c r="A5" s="4" t="s">
        <v>2900</v>
      </c>
    </row>
    <row r="6" spans="1:8" ht="36" customHeight="1">
      <c r="A6" s="3" t="s">
        <v>2901</v>
      </c>
    </row>
    <row r="7" spans="1:8" ht="36" customHeight="1">
      <c r="A7" s="2" t="s">
        <v>2902</v>
      </c>
      <c r="B7" s="2" t="s">
        <v>2903</v>
      </c>
      <c r="C7" s="2" t="s">
        <v>204</v>
      </c>
    </row>
    <row r="8" spans="1:8" ht="36" customHeight="1">
      <c r="A8" s="3" t="s">
        <v>202</v>
      </c>
      <c r="B8" s="3" t="s">
        <v>2793</v>
      </c>
      <c r="C8" s="3" t="s">
        <v>2904</v>
      </c>
    </row>
    <row r="9" spans="1:8" ht="36" customHeight="1">
      <c r="A9" s="2" t="s">
        <v>2769</v>
      </c>
      <c r="B9" s="2" t="s">
        <v>2905</v>
      </c>
      <c r="C9" s="2" t="s">
        <v>2906</v>
      </c>
    </row>
    <row r="10" spans="1:8" ht="36" customHeight="1">
      <c r="A10" s="3" t="s">
        <v>2578</v>
      </c>
      <c r="B10" s="3" t="s">
        <v>2907</v>
      </c>
      <c r="C10" s="3" t="s">
        <v>2908</v>
      </c>
    </row>
    <row r="11" spans="1:8" ht="36" customHeight="1">
      <c r="A11" s="2" t="s">
        <v>2581</v>
      </c>
      <c r="B11" s="2" t="s">
        <v>2909</v>
      </c>
      <c r="C11" s="2" t="s">
        <v>2910</v>
      </c>
    </row>
    <row r="12" spans="1:8" ht="36" customHeight="1">
      <c r="A12" s="3" t="s">
        <v>2911</v>
      </c>
      <c r="B12" s="3" t="s">
        <v>2912</v>
      </c>
      <c r="C12" s="3" t="s">
        <v>2913</v>
      </c>
    </row>
    <row r="14" spans="1:8" ht="22.5" customHeight="1">
      <c r="A14" s="11" t="s">
        <v>2914</v>
      </c>
      <c r="B14" s="11"/>
      <c r="C14" s="11"/>
    </row>
    <row r="15" spans="1:8" ht="36" customHeight="1">
      <c r="A15" s="4" t="s">
        <v>2915</v>
      </c>
    </row>
    <row r="16" spans="1:8" ht="36" customHeight="1">
      <c r="A16" s="3" t="s">
        <v>2916</v>
      </c>
    </row>
    <row r="17" spans="1:3" ht="36" customHeight="1">
      <c r="A17" s="2" t="s">
        <v>2917</v>
      </c>
      <c r="B17" s="2" t="s">
        <v>232</v>
      </c>
      <c r="C17" s="2" t="s">
        <v>204</v>
      </c>
    </row>
    <row r="18" spans="1:3" ht="36" customHeight="1">
      <c r="A18" s="3" t="s">
        <v>2918</v>
      </c>
      <c r="B18" s="3" t="s">
        <v>2919</v>
      </c>
      <c r="C18" s="3" t="s">
        <v>2920</v>
      </c>
    </row>
    <row r="19" spans="1:3" ht="36" customHeight="1">
      <c r="A19" s="2" t="s">
        <v>2921</v>
      </c>
      <c r="B19" s="2" t="s">
        <v>2922</v>
      </c>
      <c r="C19" s="2" t="s">
        <v>2923</v>
      </c>
    </row>
    <row r="20" spans="1:3" ht="36" customHeight="1">
      <c r="A20" s="3" t="s">
        <v>2924</v>
      </c>
      <c r="B20" s="3" t="s">
        <v>2925</v>
      </c>
      <c r="C20" s="3" t="s">
        <v>2926</v>
      </c>
    </row>
    <row r="21" spans="1:3" ht="36" customHeight="1">
      <c r="A21" s="2" t="s">
        <v>2927</v>
      </c>
      <c r="B21" s="2" t="s">
        <v>2928</v>
      </c>
      <c r="C21" s="2" t="s">
        <v>2929</v>
      </c>
    </row>
    <row r="22" spans="1:3" ht="36" customHeight="1">
      <c r="A22" s="3" t="s">
        <v>2744</v>
      </c>
      <c r="B22" s="3" t="s">
        <v>2930</v>
      </c>
      <c r="C22" s="3" t="s">
        <v>2931</v>
      </c>
    </row>
    <row r="23" spans="1:3" ht="36" customHeight="1">
      <c r="A23" s="2" t="s">
        <v>2932</v>
      </c>
      <c r="B23" s="2" t="s">
        <v>2933</v>
      </c>
      <c r="C23" s="2" t="s">
        <v>2934</v>
      </c>
    </row>
    <row r="24" spans="1:3" ht="36" customHeight="1">
      <c r="A24" s="3" t="s">
        <v>2935</v>
      </c>
      <c r="B24" s="3" t="s">
        <v>2936</v>
      </c>
      <c r="C24" s="3" t="s">
        <v>2937</v>
      </c>
    </row>
    <row r="25" spans="1:3" ht="36" customHeight="1">
      <c r="A25" s="2" t="s">
        <v>2938</v>
      </c>
      <c r="B25" s="2" t="s">
        <v>2939</v>
      </c>
      <c r="C25" s="2" t="s">
        <v>2940</v>
      </c>
    </row>
    <row r="26" spans="1:3" ht="36" customHeight="1">
      <c r="A26" s="3" t="s">
        <v>2941</v>
      </c>
      <c r="B26" s="3" t="s">
        <v>2942</v>
      </c>
      <c r="C26" s="3" t="s">
        <v>2943</v>
      </c>
    </row>
    <row r="27" spans="1:3" ht="36" customHeight="1">
      <c r="A27" s="2" t="s">
        <v>2944</v>
      </c>
      <c r="B27" s="2" t="s">
        <v>2945</v>
      </c>
      <c r="C27" s="2" t="s">
        <v>2946</v>
      </c>
    </row>
    <row r="28" spans="1:3" ht="36" customHeight="1">
      <c r="A28" s="3" t="s">
        <v>2947</v>
      </c>
      <c r="B28" s="3" t="s">
        <v>2948</v>
      </c>
      <c r="C28" s="3" t="s">
        <v>2949</v>
      </c>
    </row>
    <row r="29" spans="1:3" ht="36" customHeight="1">
      <c r="A29" s="2" t="s">
        <v>2950</v>
      </c>
      <c r="B29" s="2" t="s">
        <v>2951</v>
      </c>
      <c r="C29" s="2" t="s">
        <v>2952</v>
      </c>
    </row>
    <row r="30" spans="1:3" ht="36" customHeight="1">
      <c r="A30" s="3" t="s">
        <v>2953</v>
      </c>
      <c r="B30" s="3" t="s">
        <v>2954</v>
      </c>
      <c r="C30" s="3" t="s">
        <v>2955</v>
      </c>
    </row>
    <row r="31" spans="1:3" ht="36" customHeight="1">
      <c r="A31" s="2" t="s">
        <v>2956</v>
      </c>
      <c r="B31" s="2" t="s">
        <v>2957</v>
      </c>
      <c r="C31" s="2" t="s">
        <v>2958</v>
      </c>
    </row>
    <row r="32" spans="1:3" ht="36" customHeight="1">
      <c r="A32" s="3" t="s">
        <v>2959</v>
      </c>
      <c r="B32" s="3" t="s">
        <v>2960</v>
      </c>
      <c r="C32" s="3" t="s">
        <v>2961</v>
      </c>
    </row>
    <row r="33" spans="1:3" ht="36" customHeight="1">
      <c r="A33" s="2" t="s">
        <v>2962</v>
      </c>
      <c r="B33" s="2" t="s">
        <v>2963</v>
      </c>
      <c r="C33" s="2" t="s">
        <v>2964</v>
      </c>
    </row>
    <row r="34" spans="1:3" ht="36" customHeight="1">
      <c r="A34" s="3" t="s">
        <v>2965</v>
      </c>
      <c r="B34" s="3" t="s">
        <v>2966</v>
      </c>
      <c r="C34" s="3" t="s">
        <v>2967</v>
      </c>
    </row>
    <row r="36" spans="1:3" ht="22.5" customHeight="1">
      <c r="A36" s="11" t="s">
        <v>2968</v>
      </c>
      <c r="B36" s="11"/>
      <c r="C36" s="11"/>
    </row>
    <row r="37" spans="1:3" ht="36" customHeight="1">
      <c r="A37" s="4" t="s">
        <v>2969</v>
      </c>
    </row>
    <row r="38" spans="1:3" ht="36" customHeight="1">
      <c r="A38" s="3" t="s">
        <v>2970</v>
      </c>
    </row>
    <row r="39" spans="1:3" ht="36" customHeight="1">
      <c r="A39" s="2" t="s">
        <v>2</v>
      </c>
      <c r="B39" s="2" t="s">
        <v>2971</v>
      </c>
      <c r="C39" s="2" t="s">
        <v>2972</v>
      </c>
    </row>
    <row r="40" spans="1:3" ht="36" customHeight="1">
      <c r="A40" s="3">
        <v>1</v>
      </c>
      <c r="B40" s="3" t="s">
        <v>2973</v>
      </c>
      <c r="C40" s="3" t="s">
        <v>2974</v>
      </c>
    </row>
    <row r="41" spans="1:3" ht="36" customHeight="1">
      <c r="A41" s="2">
        <v>2</v>
      </c>
      <c r="B41" s="2" t="s">
        <v>2975</v>
      </c>
      <c r="C41" s="2" t="s">
        <v>2976</v>
      </c>
    </row>
    <row r="42" spans="1:3" ht="36" customHeight="1">
      <c r="A42" s="3">
        <v>3</v>
      </c>
      <c r="B42" s="3" t="s">
        <v>2977</v>
      </c>
      <c r="C42" s="3" t="s">
        <v>2978</v>
      </c>
    </row>
    <row r="43" spans="1:3" ht="36" customHeight="1">
      <c r="A43" s="2">
        <v>4</v>
      </c>
      <c r="B43" s="2" t="s">
        <v>2979</v>
      </c>
      <c r="C43" s="2" t="s">
        <v>2980</v>
      </c>
    </row>
    <row r="44" spans="1:3" ht="36" customHeight="1">
      <c r="A44" s="3">
        <v>5</v>
      </c>
      <c r="B44" s="3" t="s">
        <v>2981</v>
      </c>
      <c r="C44" s="3" t="s">
        <v>2982</v>
      </c>
    </row>
    <row r="45" spans="1:3" ht="36" customHeight="1">
      <c r="A45" s="2">
        <v>6</v>
      </c>
      <c r="B45" s="2" t="s">
        <v>2983</v>
      </c>
      <c r="C45" s="2" t="s">
        <v>2984</v>
      </c>
    </row>
    <row r="46" spans="1:3" ht="36" customHeight="1">
      <c r="A46" s="3">
        <v>7</v>
      </c>
      <c r="B46" s="3" t="s">
        <v>2985</v>
      </c>
      <c r="C46" s="3" t="s">
        <v>2986</v>
      </c>
    </row>
    <row r="47" spans="1:3" ht="36" customHeight="1">
      <c r="A47" s="2">
        <v>8</v>
      </c>
      <c r="B47" s="2" t="s">
        <v>2987</v>
      </c>
      <c r="C47" s="2" t="s">
        <v>2988</v>
      </c>
    </row>
    <row r="48" spans="1:3" ht="36" customHeight="1">
      <c r="A48" s="3">
        <v>9</v>
      </c>
      <c r="B48" s="3" t="s">
        <v>2989</v>
      </c>
      <c r="C48" s="3" t="s">
        <v>2990</v>
      </c>
    </row>
    <row r="49" spans="1:3" ht="36" customHeight="1">
      <c r="A49" s="2">
        <v>10</v>
      </c>
      <c r="B49" s="2" t="s">
        <v>2991</v>
      </c>
      <c r="C49" s="2" t="s">
        <v>2992</v>
      </c>
    </row>
    <row r="50" spans="1:3" ht="36" customHeight="1">
      <c r="A50" s="3">
        <v>11</v>
      </c>
      <c r="B50" s="3" t="s">
        <v>2993</v>
      </c>
      <c r="C50" s="3" t="s">
        <v>2994</v>
      </c>
    </row>
    <row r="51" spans="1:3" ht="36" customHeight="1">
      <c r="A51" s="2">
        <v>12</v>
      </c>
      <c r="B51" s="2" t="s">
        <v>2995</v>
      </c>
      <c r="C51" s="2" t="s">
        <v>2996</v>
      </c>
    </row>
    <row r="52" spans="1:3" ht="36" customHeight="1">
      <c r="A52" s="3">
        <v>13</v>
      </c>
      <c r="B52" s="3" t="s">
        <v>2997</v>
      </c>
      <c r="C52" s="3" t="s">
        <v>2998</v>
      </c>
    </row>
    <row r="53" spans="1:3" ht="36" customHeight="1">
      <c r="A53" s="2">
        <v>14</v>
      </c>
      <c r="B53" s="2" t="s">
        <v>2999</v>
      </c>
      <c r="C53" s="2" t="s">
        <v>3000</v>
      </c>
    </row>
    <row r="54" spans="1:3" ht="36" customHeight="1">
      <c r="A54" s="3">
        <v>15</v>
      </c>
      <c r="B54" s="3" t="s">
        <v>3001</v>
      </c>
      <c r="C54" s="3" t="s">
        <v>3002</v>
      </c>
    </row>
    <row r="56" spans="1:3" ht="22.5" customHeight="1">
      <c r="A56" s="11" t="s">
        <v>3003</v>
      </c>
      <c r="B56" s="11"/>
      <c r="C56" s="11"/>
    </row>
    <row r="57" spans="1:3" ht="36" customHeight="1">
      <c r="A57" s="4" t="s">
        <v>3004</v>
      </c>
    </row>
    <row r="58" spans="1:3" ht="36" customHeight="1">
      <c r="A58" s="3" t="s">
        <v>3005</v>
      </c>
    </row>
    <row r="59" spans="1:3" ht="36" customHeight="1">
      <c r="A59" s="2" t="s">
        <v>40</v>
      </c>
      <c r="B59" s="2" t="s">
        <v>3006</v>
      </c>
      <c r="C59" s="2" t="s">
        <v>42</v>
      </c>
    </row>
    <row r="60" spans="1:3" ht="36" customHeight="1">
      <c r="A60" s="3" t="s">
        <v>3007</v>
      </c>
      <c r="B60" s="3" t="s">
        <v>3008</v>
      </c>
      <c r="C60" s="3" t="s">
        <v>46</v>
      </c>
    </row>
    <row r="61" spans="1:3" ht="36" customHeight="1">
      <c r="A61" s="2" t="s">
        <v>3009</v>
      </c>
      <c r="B61" s="2" t="s">
        <v>3010</v>
      </c>
      <c r="C61" s="2" t="s">
        <v>46</v>
      </c>
    </row>
    <row r="62" spans="1:3" ht="36" customHeight="1">
      <c r="A62" s="3" t="s">
        <v>2536</v>
      </c>
      <c r="B62" s="3" t="s">
        <v>3011</v>
      </c>
      <c r="C62" s="3" t="s">
        <v>46</v>
      </c>
    </row>
    <row r="63" spans="1:3" ht="36" customHeight="1">
      <c r="A63" s="2" t="s">
        <v>3012</v>
      </c>
      <c r="B63" s="2" t="s">
        <v>3013</v>
      </c>
      <c r="C63" s="2" t="s">
        <v>153</v>
      </c>
    </row>
    <row r="64" spans="1:3" ht="36" customHeight="1">
      <c r="A64" s="3" t="s">
        <v>3014</v>
      </c>
      <c r="B64" s="3" t="s">
        <v>3015</v>
      </c>
      <c r="C64" s="3" t="s">
        <v>153</v>
      </c>
    </row>
    <row r="65" spans="1:3" ht="36" customHeight="1">
      <c r="A65" s="2" t="s">
        <v>3016</v>
      </c>
      <c r="B65" s="2" t="s">
        <v>3017</v>
      </c>
      <c r="C65" s="2" t="s">
        <v>3018</v>
      </c>
    </row>
    <row r="66" spans="1:3" ht="36" customHeight="1">
      <c r="A66" s="3" t="s">
        <v>3019</v>
      </c>
      <c r="B66" s="3" t="s">
        <v>3020</v>
      </c>
      <c r="C66" s="3" t="s">
        <v>153</v>
      </c>
    </row>
    <row r="67" spans="1:3" ht="36" customHeight="1">
      <c r="A67" s="2" t="s">
        <v>3021</v>
      </c>
      <c r="B67" s="2" t="s">
        <v>3022</v>
      </c>
      <c r="C67" s="2" t="s">
        <v>3018</v>
      </c>
    </row>
    <row r="68" spans="1:3" ht="36" customHeight="1">
      <c r="A68" s="3" t="s">
        <v>3023</v>
      </c>
      <c r="B68" s="3" t="s">
        <v>3024</v>
      </c>
      <c r="C68" s="3" t="s">
        <v>153</v>
      </c>
    </row>
    <row r="69" spans="1:3" ht="36" customHeight="1">
      <c r="A69" s="2" t="s">
        <v>3025</v>
      </c>
      <c r="B69" s="2" t="s">
        <v>3026</v>
      </c>
      <c r="C69" s="2" t="s">
        <v>80</v>
      </c>
    </row>
    <row r="70" spans="1:3" ht="36" customHeight="1">
      <c r="A70" s="3" t="s">
        <v>3027</v>
      </c>
      <c r="B70" s="3" t="s">
        <v>3028</v>
      </c>
      <c r="C70" s="3" t="s">
        <v>153</v>
      </c>
    </row>
    <row r="71" spans="1:3" ht="36" customHeight="1">
      <c r="A71" s="2" t="s">
        <v>3029</v>
      </c>
      <c r="B71" s="2" t="s">
        <v>3030</v>
      </c>
      <c r="C71" s="2" t="s">
        <v>80</v>
      </c>
    </row>
    <row r="72" spans="1:3" ht="36" customHeight="1">
      <c r="A72" s="3" t="s">
        <v>3031</v>
      </c>
      <c r="B72" s="3" t="s">
        <v>3032</v>
      </c>
      <c r="C72" s="3" t="s">
        <v>80</v>
      </c>
    </row>
    <row r="73" spans="1:3" ht="36" customHeight="1">
      <c r="A73" s="2" t="s">
        <v>3033</v>
      </c>
      <c r="B73" s="2" t="s">
        <v>3034</v>
      </c>
      <c r="C73" s="2" t="s">
        <v>46</v>
      </c>
    </row>
    <row r="74" spans="1:3" ht="36" customHeight="1">
      <c r="A74" s="3" t="s">
        <v>3035</v>
      </c>
      <c r="B74" s="3" t="s">
        <v>3036</v>
      </c>
      <c r="C74" s="3" t="s">
        <v>46</v>
      </c>
    </row>
    <row r="75" spans="1:3" ht="36" customHeight="1">
      <c r="A75" s="2" t="s">
        <v>3037</v>
      </c>
      <c r="B75" s="2" t="s">
        <v>3038</v>
      </c>
      <c r="C75" s="2" t="s">
        <v>153</v>
      </c>
    </row>
    <row r="76" spans="1:3" ht="36" customHeight="1">
      <c r="A76" s="3" t="s">
        <v>3039</v>
      </c>
      <c r="B76" s="3" t="s">
        <v>3040</v>
      </c>
      <c r="C76" s="3" t="s">
        <v>153</v>
      </c>
    </row>
    <row r="77" spans="1:3" ht="36" customHeight="1">
      <c r="A77" s="2" t="s">
        <v>3041</v>
      </c>
      <c r="B77" s="2" t="s">
        <v>3042</v>
      </c>
      <c r="C77" s="2" t="s">
        <v>153</v>
      </c>
    </row>
    <row r="78" spans="1:3" ht="36" customHeight="1">
      <c r="A78" s="3" t="s">
        <v>3043</v>
      </c>
      <c r="B78" s="3" t="s">
        <v>3044</v>
      </c>
      <c r="C78" s="3" t="s">
        <v>153</v>
      </c>
    </row>
    <row r="79" spans="1:3" ht="36" customHeight="1">
      <c r="A79" s="2" t="s">
        <v>3045</v>
      </c>
      <c r="B79" s="2" t="s">
        <v>3046</v>
      </c>
      <c r="C79" s="2" t="s">
        <v>3047</v>
      </c>
    </row>
    <row r="80" spans="1:3" ht="36" customHeight="1">
      <c r="A80" s="3" t="s">
        <v>3048</v>
      </c>
      <c r="B80" s="3" t="s">
        <v>3049</v>
      </c>
      <c r="C80" s="3" t="s">
        <v>675</v>
      </c>
    </row>
    <row r="81" spans="1:3" ht="36" customHeight="1">
      <c r="A81" s="2" t="s">
        <v>3050</v>
      </c>
      <c r="B81" s="2" t="s">
        <v>3051</v>
      </c>
      <c r="C81" s="2" t="s">
        <v>3052</v>
      </c>
    </row>
    <row r="82" spans="1:3" ht="36" customHeight="1">
      <c r="A82" s="3" t="s">
        <v>3053</v>
      </c>
      <c r="B82" s="3" t="s">
        <v>3054</v>
      </c>
      <c r="C82" s="3" t="s">
        <v>3055</v>
      </c>
    </row>
    <row r="83" spans="1:3" ht="36" customHeight="1">
      <c r="A83" s="2" t="s">
        <v>3056</v>
      </c>
      <c r="B83" s="2" t="s">
        <v>3057</v>
      </c>
      <c r="C83" s="2" t="s">
        <v>153</v>
      </c>
    </row>
    <row r="84" spans="1:3" ht="36" customHeight="1">
      <c r="A84" s="3" t="s">
        <v>3058</v>
      </c>
      <c r="B84" s="3" t="s">
        <v>3059</v>
      </c>
      <c r="C84" s="3" t="s">
        <v>153</v>
      </c>
    </row>
    <row r="86" spans="1:3" ht="22.5" customHeight="1">
      <c r="A86" s="11" t="s">
        <v>3060</v>
      </c>
      <c r="B86" s="11"/>
      <c r="C86" s="11"/>
    </row>
    <row r="87" spans="1:3" ht="36" customHeight="1">
      <c r="A87" s="4" t="s">
        <v>3061</v>
      </c>
    </row>
    <row r="88" spans="1:3" ht="36" customHeight="1">
      <c r="A88" s="3" t="s">
        <v>3062</v>
      </c>
    </row>
    <row r="89" spans="1:3" ht="36" customHeight="1">
      <c r="A89" s="2" t="s">
        <v>40</v>
      </c>
      <c r="B89" s="2" t="s">
        <v>2532</v>
      </c>
      <c r="C89" s="2" t="s">
        <v>42</v>
      </c>
    </row>
    <row r="90" spans="1:3" ht="36" customHeight="1">
      <c r="A90" s="3" t="s">
        <v>2536</v>
      </c>
      <c r="B90" s="3" t="s">
        <v>3063</v>
      </c>
      <c r="C90" s="3" t="s">
        <v>46</v>
      </c>
    </row>
    <row r="91" spans="1:3" ht="36" customHeight="1">
      <c r="A91" s="2" t="s">
        <v>3064</v>
      </c>
      <c r="B91" s="2" t="s">
        <v>3065</v>
      </c>
      <c r="C91" s="2" t="s">
        <v>46</v>
      </c>
    </row>
    <row r="92" spans="1:3" ht="36" customHeight="1">
      <c r="A92" s="3" t="s">
        <v>3066</v>
      </c>
      <c r="B92" s="3" t="s">
        <v>3067</v>
      </c>
      <c r="C92" s="3" t="s">
        <v>46</v>
      </c>
    </row>
    <row r="93" spans="1:3" ht="36" customHeight="1">
      <c r="A93" s="2" t="s">
        <v>3012</v>
      </c>
      <c r="B93" s="2" t="s">
        <v>3068</v>
      </c>
      <c r="C93" s="2" t="s">
        <v>153</v>
      </c>
    </row>
    <row r="94" spans="1:3" ht="36" customHeight="1">
      <c r="A94" s="3" t="s">
        <v>3069</v>
      </c>
      <c r="B94" s="3" t="s">
        <v>3070</v>
      </c>
      <c r="C94" s="3" t="s">
        <v>153</v>
      </c>
    </row>
    <row r="95" spans="1:3" ht="36" customHeight="1">
      <c r="A95" s="2" t="s">
        <v>2695</v>
      </c>
      <c r="B95" s="2" t="s">
        <v>3071</v>
      </c>
      <c r="C95" s="2" t="s">
        <v>153</v>
      </c>
    </row>
    <row r="96" spans="1:3" ht="36" customHeight="1">
      <c r="A96" s="3" t="s">
        <v>917</v>
      </c>
      <c r="B96" s="3" t="s">
        <v>3072</v>
      </c>
      <c r="C96" s="3" t="s">
        <v>153</v>
      </c>
    </row>
    <row r="97" spans="1:3" ht="36" customHeight="1">
      <c r="A97" s="2" t="s">
        <v>1916</v>
      </c>
      <c r="B97" s="2" t="s">
        <v>3073</v>
      </c>
      <c r="C97" s="2" t="s">
        <v>153</v>
      </c>
    </row>
    <row r="98" spans="1:3" ht="36" customHeight="1">
      <c r="A98" s="3" t="s">
        <v>135</v>
      </c>
      <c r="B98" s="3" t="s">
        <v>3074</v>
      </c>
      <c r="C98" s="3" t="s">
        <v>153</v>
      </c>
    </row>
    <row r="99" spans="1:3" ht="36" customHeight="1">
      <c r="A99" s="2" t="s">
        <v>808</v>
      </c>
      <c r="B99" s="2" t="s">
        <v>3075</v>
      </c>
      <c r="C99" s="2" t="s">
        <v>3076</v>
      </c>
    </row>
    <row r="100" spans="1:3" ht="36" customHeight="1">
      <c r="A100" s="3" t="s">
        <v>2600</v>
      </c>
      <c r="B100" s="3" t="s">
        <v>3077</v>
      </c>
      <c r="C100" s="3" t="s">
        <v>153</v>
      </c>
    </row>
    <row r="101" spans="1:3" ht="36" customHeight="1">
      <c r="A101" s="2" t="s">
        <v>143</v>
      </c>
      <c r="B101" s="2" t="s">
        <v>3078</v>
      </c>
      <c r="C101" s="2" t="s">
        <v>153</v>
      </c>
    </row>
    <row r="102" spans="1:3" ht="36" customHeight="1">
      <c r="A102" s="3" t="s">
        <v>141</v>
      </c>
      <c r="B102" s="3" t="s">
        <v>3079</v>
      </c>
      <c r="C102" s="3" t="s">
        <v>3080</v>
      </c>
    </row>
    <row r="103" spans="1:3" ht="36" customHeight="1">
      <c r="A103" s="2" t="s">
        <v>3081</v>
      </c>
      <c r="B103" s="2" t="s">
        <v>3082</v>
      </c>
      <c r="C103" s="2" t="s">
        <v>3083</v>
      </c>
    </row>
    <row r="104" spans="1:3" ht="36" customHeight="1">
      <c r="A104" s="3" t="s">
        <v>2658</v>
      </c>
      <c r="B104" s="3" t="s">
        <v>3084</v>
      </c>
      <c r="C104" s="3" t="s">
        <v>153</v>
      </c>
    </row>
    <row r="105" spans="1:3" ht="36" customHeight="1">
      <c r="A105" s="2" t="s">
        <v>2664</v>
      </c>
      <c r="B105" s="2" t="s">
        <v>3085</v>
      </c>
      <c r="C105" s="2" t="s">
        <v>153</v>
      </c>
    </row>
    <row r="106" spans="1:3" ht="36" customHeight="1">
      <c r="A106" s="3" t="s">
        <v>3086</v>
      </c>
      <c r="B106" s="3" t="s">
        <v>3087</v>
      </c>
      <c r="C106" s="3" t="s">
        <v>3047</v>
      </c>
    </row>
    <row r="107" spans="1:3" ht="36" customHeight="1">
      <c r="A107" s="2" t="s">
        <v>3088</v>
      </c>
      <c r="B107" s="2" t="s">
        <v>3089</v>
      </c>
      <c r="C107" s="2" t="s">
        <v>153</v>
      </c>
    </row>
    <row r="108" spans="1:3" ht="36" customHeight="1">
      <c r="A108" s="3" t="s">
        <v>3090</v>
      </c>
      <c r="B108" s="3" t="s">
        <v>3091</v>
      </c>
      <c r="C108" s="3" t="s">
        <v>3018</v>
      </c>
    </row>
    <row r="109" spans="1:3" ht="36" customHeight="1">
      <c r="A109" s="2" t="s">
        <v>3092</v>
      </c>
      <c r="B109" s="2" t="s">
        <v>3093</v>
      </c>
      <c r="C109" s="2" t="s">
        <v>3094</v>
      </c>
    </row>
    <row r="110" spans="1:3" ht="36" customHeight="1">
      <c r="A110" s="3" t="s">
        <v>3095</v>
      </c>
      <c r="B110" s="3" t="s">
        <v>3096</v>
      </c>
      <c r="C110" s="3" t="s">
        <v>675</v>
      </c>
    </row>
    <row r="111" spans="1:3" ht="36" customHeight="1">
      <c r="A111" s="2" t="s">
        <v>3097</v>
      </c>
      <c r="B111" s="2" t="s">
        <v>3098</v>
      </c>
      <c r="C111" s="2" t="s">
        <v>3094</v>
      </c>
    </row>
    <row r="112" spans="1:3" ht="36" customHeight="1">
      <c r="A112" s="3" t="s">
        <v>163</v>
      </c>
      <c r="B112" s="3" t="s">
        <v>3099</v>
      </c>
      <c r="C112" s="3" t="s">
        <v>46</v>
      </c>
    </row>
    <row r="113" spans="1:4" ht="36" customHeight="1">
      <c r="A113" s="2" t="s">
        <v>3100</v>
      </c>
      <c r="B113" s="2" t="s">
        <v>3101</v>
      </c>
      <c r="C113" s="2" t="s">
        <v>3094</v>
      </c>
    </row>
    <row r="114" spans="1:4" ht="36" customHeight="1">
      <c r="A114" s="3" t="s">
        <v>3102</v>
      </c>
      <c r="B114" s="3" t="s">
        <v>3103</v>
      </c>
      <c r="C114" s="3" t="s">
        <v>3104</v>
      </c>
    </row>
    <row r="115" spans="1:4" ht="36" customHeight="1">
      <c r="A115" s="2" t="s">
        <v>3105</v>
      </c>
      <c r="B115" s="2" t="s">
        <v>3106</v>
      </c>
      <c r="C115" s="2" t="s">
        <v>2623</v>
      </c>
    </row>
    <row r="116" spans="1:4" ht="36" customHeight="1">
      <c r="A116" s="3" t="s">
        <v>3107</v>
      </c>
      <c r="B116" s="3" t="s">
        <v>3108</v>
      </c>
      <c r="C116" s="3" t="s">
        <v>3109</v>
      </c>
    </row>
    <row r="117" spans="1:4" ht="36" customHeight="1">
      <c r="A117" s="2" t="s">
        <v>3110</v>
      </c>
      <c r="B117" s="2" t="s">
        <v>3111</v>
      </c>
      <c r="C117" s="2" t="s">
        <v>3094</v>
      </c>
    </row>
    <row r="119" spans="1:4" ht="22.5" customHeight="1">
      <c r="A119" s="11" t="s">
        <v>3112</v>
      </c>
      <c r="B119" s="11"/>
      <c r="C119" s="11"/>
      <c r="D119" s="11"/>
    </row>
    <row r="120" spans="1:4" ht="36" customHeight="1">
      <c r="A120" s="4" t="s">
        <v>3113</v>
      </c>
    </row>
    <row r="121" spans="1:4" ht="36" customHeight="1">
      <c r="A121" s="3" t="s">
        <v>3114</v>
      </c>
    </row>
    <row r="122" spans="1:4" ht="36" customHeight="1">
      <c r="A122" s="2" t="s">
        <v>2</v>
      </c>
      <c r="B122" s="2" t="s">
        <v>2182</v>
      </c>
      <c r="C122" s="2" t="s">
        <v>3115</v>
      </c>
      <c r="D122" s="2" t="s">
        <v>3116</v>
      </c>
    </row>
    <row r="123" spans="1:4" ht="36" customHeight="1">
      <c r="A123" s="3">
        <v>1</v>
      </c>
      <c r="B123" s="3" t="s">
        <v>3117</v>
      </c>
      <c r="C123" s="3" t="s">
        <v>3118</v>
      </c>
      <c r="D123" s="3" t="s">
        <v>3119</v>
      </c>
    </row>
    <row r="124" spans="1:4" ht="36" customHeight="1">
      <c r="A124" s="2">
        <v>2</v>
      </c>
      <c r="B124" s="2" t="s">
        <v>3120</v>
      </c>
      <c r="C124" s="2" t="s">
        <v>3121</v>
      </c>
      <c r="D124" s="2" t="s">
        <v>3122</v>
      </c>
    </row>
    <row r="125" spans="1:4" ht="36" customHeight="1">
      <c r="A125" s="3">
        <v>3</v>
      </c>
      <c r="B125" s="3" t="s">
        <v>3123</v>
      </c>
      <c r="C125" s="3" t="s">
        <v>3124</v>
      </c>
      <c r="D125" s="3" t="s">
        <v>3125</v>
      </c>
    </row>
    <row r="126" spans="1:4" ht="36" customHeight="1">
      <c r="A126" s="2">
        <v>4</v>
      </c>
      <c r="B126" s="2" t="s">
        <v>3126</v>
      </c>
      <c r="C126" s="2" t="s">
        <v>3127</v>
      </c>
      <c r="D126" s="2" t="s">
        <v>3128</v>
      </c>
    </row>
    <row r="127" spans="1:4" ht="36" customHeight="1">
      <c r="A127" s="3">
        <v>5</v>
      </c>
      <c r="B127" s="3" t="s">
        <v>3129</v>
      </c>
      <c r="C127" s="3" t="s">
        <v>3130</v>
      </c>
      <c r="D127" s="3" t="s">
        <v>3131</v>
      </c>
    </row>
    <row r="128" spans="1:4" ht="36" customHeight="1">
      <c r="A128" s="2">
        <v>6</v>
      </c>
      <c r="B128" s="2" t="s">
        <v>3132</v>
      </c>
      <c r="C128" s="2" t="s">
        <v>3130</v>
      </c>
      <c r="D128" s="2" t="s">
        <v>3133</v>
      </c>
    </row>
    <row r="129" spans="1:4" ht="36" customHeight="1">
      <c r="A129" s="3">
        <v>7</v>
      </c>
      <c r="B129" s="3" t="s">
        <v>3134</v>
      </c>
      <c r="C129" s="3" t="s">
        <v>3127</v>
      </c>
      <c r="D129" s="3" t="s">
        <v>3135</v>
      </c>
    </row>
    <row r="130" spans="1:4" ht="36" customHeight="1">
      <c r="A130" s="2">
        <v>8</v>
      </c>
      <c r="B130" s="2" t="s">
        <v>3136</v>
      </c>
      <c r="C130" s="2" t="s">
        <v>3124</v>
      </c>
      <c r="D130" s="2" t="s">
        <v>3137</v>
      </c>
    </row>
    <row r="131" spans="1:4" ht="36" customHeight="1">
      <c r="A131" s="3">
        <v>9</v>
      </c>
      <c r="B131" s="3" t="s">
        <v>3138</v>
      </c>
      <c r="C131" s="3" t="s">
        <v>3124</v>
      </c>
      <c r="D131" s="3" t="s">
        <v>3139</v>
      </c>
    </row>
    <row r="132" spans="1:4" ht="36" customHeight="1">
      <c r="A132" s="2">
        <v>10</v>
      </c>
      <c r="B132" s="2" t="s">
        <v>3140</v>
      </c>
      <c r="C132" s="2" t="s">
        <v>3124</v>
      </c>
      <c r="D132" s="2" t="s">
        <v>3141</v>
      </c>
    </row>
    <row r="133" spans="1:4" ht="36" customHeight="1">
      <c r="A133" s="3">
        <v>11</v>
      </c>
      <c r="B133" s="3" t="s">
        <v>3142</v>
      </c>
      <c r="C133" s="3" t="s">
        <v>3143</v>
      </c>
      <c r="D133" s="3" t="s">
        <v>3144</v>
      </c>
    </row>
    <row r="134" spans="1:4" ht="36" customHeight="1">
      <c r="A134" s="2">
        <v>12</v>
      </c>
      <c r="B134" s="2" t="s">
        <v>3145</v>
      </c>
      <c r="C134" s="2" t="s">
        <v>3124</v>
      </c>
      <c r="D134" s="2" t="s">
        <v>3146</v>
      </c>
    </row>
    <row r="135" spans="1:4" ht="36" customHeight="1">
      <c r="A135" s="3">
        <v>13</v>
      </c>
      <c r="B135" s="3" t="s">
        <v>3147</v>
      </c>
      <c r="C135" s="3" t="s">
        <v>3127</v>
      </c>
      <c r="D135" s="3" t="s">
        <v>2998</v>
      </c>
    </row>
    <row r="136" spans="1:4" ht="36" customHeight="1">
      <c r="A136" s="2">
        <v>14</v>
      </c>
      <c r="B136" s="2" t="s">
        <v>3148</v>
      </c>
      <c r="C136" s="2" t="s">
        <v>3127</v>
      </c>
      <c r="D136" s="2" t="s">
        <v>3149</v>
      </c>
    </row>
    <row r="137" spans="1:4" ht="36" customHeight="1">
      <c r="A137" s="3">
        <v>15</v>
      </c>
      <c r="B137" s="3" t="s">
        <v>3150</v>
      </c>
      <c r="C137" s="3" t="s">
        <v>3151</v>
      </c>
      <c r="D137" s="3" t="s">
        <v>3152</v>
      </c>
    </row>
    <row r="138" spans="1:4" ht="36" customHeight="1">
      <c r="A138" s="2">
        <v>16</v>
      </c>
      <c r="B138" s="2" t="s">
        <v>3153</v>
      </c>
      <c r="C138" s="2" t="s">
        <v>3124</v>
      </c>
      <c r="D138" s="2" t="s">
        <v>3154</v>
      </c>
    </row>
    <row r="139" spans="1:4" ht="36" customHeight="1">
      <c r="A139" s="3"/>
      <c r="B139" s="3" t="s">
        <v>3155</v>
      </c>
      <c r="C139" s="3" t="s">
        <v>3124</v>
      </c>
      <c r="D139" s="3" t="s">
        <v>3156</v>
      </c>
    </row>
    <row r="140" spans="1:4" ht="36" customHeight="1">
      <c r="A140" s="2"/>
      <c r="B140" s="2" t="s">
        <v>3095</v>
      </c>
      <c r="C140" s="2" t="s">
        <v>675</v>
      </c>
      <c r="D140" s="2" t="s">
        <v>3157</v>
      </c>
    </row>
    <row r="141" spans="1:4" ht="36" customHeight="1">
      <c r="A141" s="3"/>
      <c r="B141" s="3" t="s">
        <v>3158</v>
      </c>
      <c r="C141" s="3" t="s">
        <v>3159</v>
      </c>
      <c r="D141" s="3" t="s">
        <v>3160</v>
      </c>
    </row>
  </sheetData>
  <mergeCells count="8">
    <mergeCell ref="A56:C56"/>
    <mergeCell ref="A86:C86"/>
    <mergeCell ref="A119:D119"/>
    <mergeCell ref="A1:H1"/>
    <mergeCell ref="A2:H2"/>
    <mergeCell ref="A4:C4"/>
    <mergeCell ref="A14:C14"/>
    <mergeCell ref="A36:C36"/>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44"/>
  <sheetViews>
    <sheetView showGridLines="0" zoomScaleNormal="100" workbookViewId="0">
      <pane ySplit="4" topLeftCell="A5" activePane="bottomLeft" state="frozen"/>
      <selection pane="bottomLeft"/>
    </sheetView>
  </sheetViews>
  <sheetFormatPr defaultColWidth="8.7109375" defaultRowHeight="15"/>
  <cols>
    <col min="1" max="1" width="30" customWidth="1"/>
    <col min="2" max="3" width="44" customWidth="1"/>
  </cols>
  <sheetData>
    <row r="1" spans="1:8" ht="27.75" customHeight="1">
      <c r="A1" s="12" t="s">
        <v>36</v>
      </c>
      <c r="B1" s="12"/>
      <c r="C1" s="12"/>
      <c r="D1" s="12"/>
      <c r="E1" s="12"/>
      <c r="F1" s="12"/>
      <c r="G1" s="12"/>
      <c r="H1" s="12"/>
    </row>
    <row r="2" spans="1:8" ht="33.75" customHeight="1">
      <c r="A2" s="13" t="s">
        <v>37</v>
      </c>
      <c r="B2" s="13"/>
      <c r="C2" s="13"/>
      <c r="D2" s="13"/>
      <c r="E2" s="13"/>
      <c r="F2" s="13"/>
      <c r="G2" s="13"/>
      <c r="H2" s="13"/>
    </row>
    <row r="4" spans="1:8" ht="22.5" customHeight="1">
      <c r="A4" s="11" t="s">
        <v>3161</v>
      </c>
      <c r="B4" s="11"/>
      <c r="C4" s="11"/>
    </row>
    <row r="5" spans="1:8" ht="36" customHeight="1">
      <c r="A5" s="4" t="s">
        <v>3162</v>
      </c>
    </row>
    <row r="6" spans="1:8" ht="36" customHeight="1">
      <c r="A6" s="3" t="s">
        <v>3163</v>
      </c>
    </row>
    <row r="7" spans="1:8" ht="36" customHeight="1">
      <c r="A7" s="2" t="s">
        <v>40</v>
      </c>
      <c r="B7" s="2" t="s">
        <v>3164</v>
      </c>
      <c r="C7" s="2" t="s">
        <v>3165</v>
      </c>
    </row>
    <row r="8" spans="1:8" ht="36" customHeight="1">
      <c r="A8" s="3" t="s">
        <v>3166</v>
      </c>
      <c r="B8" s="3" t="s">
        <v>80</v>
      </c>
      <c r="C8" s="3" t="s">
        <v>3167</v>
      </c>
    </row>
    <row r="9" spans="1:8" ht="36" customHeight="1">
      <c r="A9" s="2" t="s">
        <v>3168</v>
      </c>
      <c r="B9" s="2" t="s">
        <v>80</v>
      </c>
      <c r="C9" s="2" t="s">
        <v>3169</v>
      </c>
    </row>
    <row r="10" spans="1:8" ht="36" customHeight="1">
      <c r="A10" s="3" t="s">
        <v>3155</v>
      </c>
      <c r="B10" s="3" t="s">
        <v>80</v>
      </c>
      <c r="C10" s="3" t="s">
        <v>3170</v>
      </c>
    </row>
    <row r="11" spans="1:8" ht="36" customHeight="1">
      <c r="A11" s="2" t="s">
        <v>3171</v>
      </c>
      <c r="B11" s="2" t="s">
        <v>80</v>
      </c>
      <c r="C11" s="2" t="s">
        <v>3172</v>
      </c>
    </row>
    <row r="12" spans="1:8" ht="36" customHeight="1">
      <c r="A12" s="3" t="s">
        <v>3173</v>
      </c>
      <c r="B12" s="3" t="s">
        <v>80</v>
      </c>
      <c r="C12" s="3" t="s">
        <v>3174</v>
      </c>
    </row>
    <row r="13" spans="1:8" ht="36" customHeight="1">
      <c r="A13" s="2" t="s">
        <v>3175</v>
      </c>
      <c r="B13" s="2" t="s">
        <v>80</v>
      </c>
      <c r="C13" s="2" t="s">
        <v>3176</v>
      </c>
    </row>
    <row r="14" spans="1:8" ht="36" customHeight="1">
      <c r="A14" s="3" t="s">
        <v>3177</v>
      </c>
      <c r="B14" s="3" t="s">
        <v>80</v>
      </c>
      <c r="C14" s="3" t="s">
        <v>3178</v>
      </c>
    </row>
    <row r="15" spans="1:8" ht="36" customHeight="1">
      <c r="A15" s="2" t="s">
        <v>3179</v>
      </c>
      <c r="B15" s="2" t="s">
        <v>80</v>
      </c>
      <c r="C15" s="2" t="s">
        <v>3180</v>
      </c>
    </row>
    <row r="16" spans="1:8" ht="36" customHeight="1">
      <c r="A16" s="3" t="s">
        <v>3181</v>
      </c>
      <c r="B16" s="3" t="s">
        <v>80</v>
      </c>
      <c r="C16" s="3" t="s">
        <v>3182</v>
      </c>
    </row>
    <row r="17" spans="1:3" ht="36" customHeight="1">
      <c r="A17" s="2" t="s">
        <v>3183</v>
      </c>
      <c r="B17" s="2" t="s">
        <v>80</v>
      </c>
      <c r="C17" s="2" t="s">
        <v>3182</v>
      </c>
    </row>
    <row r="18" spans="1:3" ht="36" customHeight="1">
      <c r="A18" s="3" t="s">
        <v>3184</v>
      </c>
      <c r="B18" s="3" t="s">
        <v>80</v>
      </c>
      <c r="C18" s="3" t="s">
        <v>3185</v>
      </c>
    </row>
    <row r="19" spans="1:3" ht="36" customHeight="1">
      <c r="A19" s="2" t="s">
        <v>3136</v>
      </c>
      <c r="B19" s="2" t="s">
        <v>80</v>
      </c>
      <c r="C19" s="2" t="s">
        <v>3186</v>
      </c>
    </row>
    <row r="20" spans="1:3" ht="36" customHeight="1">
      <c r="A20" s="3" t="s">
        <v>3138</v>
      </c>
      <c r="B20" s="3" t="s">
        <v>80</v>
      </c>
      <c r="C20" s="3" t="s">
        <v>3187</v>
      </c>
    </row>
    <row r="21" spans="1:3" ht="36" customHeight="1">
      <c r="A21" s="2" t="s">
        <v>3140</v>
      </c>
      <c r="B21" s="2" t="s">
        <v>80</v>
      </c>
      <c r="C21" s="2" t="s">
        <v>3188</v>
      </c>
    </row>
    <row r="22" spans="1:3" ht="36" customHeight="1">
      <c r="A22" s="3" t="s">
        <v>3189</v>
      </c>
      <c r="B22" s="3" t="s">
        <v>80</v>
      </c>
      <c r="C22" s="3" t="s">
        <v>3190</v>
      </c>
    </row>
    <row r="23" spans="1:3" ht="36" customHeight="1">
      <c r="A23" s="2" t="s">
        <v>3191</v>
      </c>
      <c r="B23" s="2" t="s">
        <v>80</v>
      </c>
      <c r="C23" s="2" t="s">
        <v>3192</v>
      </c>
    </row>
    <row r="24" spans="1:3" ht="36" customHeight="1">
      <c r="A24" s="3" t="s">
        <v>3193</v>
      </c>
      <c r="B24" s="3" t="s">
        <v>80</v>
      </c>
      <c r="C24" s="3" t="s">
        <v>3194</v>
      </c>
    </row>
    <row r="25" spans="1:3" ht="36" customHeight="1">
      <c r="A25" s="2" t="s">
        <v>3195</v>
      </c>
      <c r="B25" s="2" t="s">
        <v>80</v>
      </c>
      <c r="C25" s="2" t="s">
        <v>3196</v>
      </c>
    </row>
    <row r="26" spans="1:3" ht="36" customHeight="1">
      <c r="A26" s="3" t="s">
        <v>3197</v>
      </c>
      <c r="B26" s="3" t="s">
        <v>80</v>
      </c>
      <c r="C26" s="3" t="s">
        <v>3194</v>
      </c>
    </row>
    <row r="27" spans="1:3" ht="36" customHeight="1">
      <c r="A27" s="2" t="s">
        <v>3198</v>
      </c>
      <c r="B27" s="2" t="s">
        <v>80</v>
      </c>
      <c r="C27" s="2" t="s">
        <v>3194</v>
      </c>
    </row>
    <row r="28" spans="1:3" ht="36" customHeight="1">
      <c r="A28" s="3" t="s">
        <v>3199</v>
      </c>
      <c r="B28" s="3" t="s">
        <v>80</v>
      </c>
      <c r="C28" s="3" t="s">
        <v>3200</v>
      </c>
    </row>
    <row r="29" spans="1:3" ht="36" customHeight="1">
      <c r="A29" s="2" t="s">
        <v>3201</v>
      </c>
      <c r="B29" s="2" t="s">
        <v>3202</v>
      </c>
      <c r="C29" s="2" t="s">
        <v>3203</v>
      </c>
    </row>
    <row r="30" spans="1:3" ht="36" customHeight="1">
      <c r="A30" s="3" t="s">
        <v>3204</v>
      </c>
      <c r="B30" s="3" t="s">
        <v>3205</v>
      </c>
      <c r="C30" s="3" t="s">
        <v>3206</v>
      </c>
    </row>
    <row r="31" spans="1:3" ht="36" customHeight="1">
      <c r="A31" s="2" t="s">
        <v>3207</v>
      </c>
      <c r="B31" s="2" t="s">
        <v>3208</v>
      </c>
      <c r="C31" s="2" t="s">
        <v>675</v>
      </c>
    </row>
    <row r="32" spans="1:3" ht="36" customHeight="1">
      <c r="A32" s="3" t="s">
        <v>3209</v>
      </c>
      <c r="B32" s="3" t="s">
        <v>3210</v>
      </c>
      <c r="C32" s="3" t="s">
        <v>675</v>
      </c>
    </row>
    <row r="33" spans="1:3" ht="36" customHeight="1">
      <c r="A33" s="2" t="s">
        <v>3211</v>
      </c>
      <c r="B33" s="2" t="s">
        <v>3212</v>
      </c>
      <c r="C33" s="2" t="s">
        <v>3213</v>
      </c>
    </row>
    <row r="34" spans="1:3" ht="36" customHeight="1">
      <c r="A34" s="3" t="s">
        <v>3214</v>
      </c>
      <c r="B34" s="3" t="s">
        <v>3215</v>
      </c>
      <c r="C34" s="3" t="s">
        <v>3216</v>
      </c>
    </row>
    <row r="35" spans="1:3" ht="36" customHeight="1">
      <c r="A35" s="2" t="s">
        <v>3217</v>
      </c>
      <c r="B35" s="2" t="s">
        <v>3218</v>
      </c>
      <c r="C35" s="2" t="s">
        <v>3219</v>
      </c>
    </row>
    <row r="36" spans="1:3" ht="36" customHeight="1">
      <c r="A36" s="3" t="s">
        <v>161</v>
      </c>
      <c r="B36" s="3" t="s">
        <v>3218</v>
      </c>
      <c r="C36" s="3" t="s">
        <v>3220</v>
      </c>
    </row>
    <row r="37" spans="1:3" ht="36" customHeight="1">
      <c r="A37" s="2" t="s">
        <v>3221</v>
      </c>
      <c r="B37" s="2" t="s">
        <v>80</v>
      </c>
      <c r="C37" s="2" t="s">
        <v>3222</v>
      </c>
    </row>
    <row r="38" spans="1:3" ht="36" customHeight="1">
      <c r="A38" s="3" t="s">
        <v>3223</v>
      </c>
      <c r="B38" s="3" t="s">
        <v>80</v>
      </c>
      <c r="C38" s="3" t="s">
        <v>3224</v>
      </c>
    </row>
    <row r="39" spans="1:3" ht="36" customHeight="1">
      <c r="A39" s="2" t="s">
        <v>3225</v>
      </c>
      <c r="B39" s="2" t="s">
        <v>80</v>
      </c>
      <c r="C39" s="2" t="s">
        <v>3226</v>
      </c>
    </row>
    <row r="40" spans="1:3" ht="36" customHeight="1">
      <c r="A40" s="3" t="s">
        <v>3227</v>
      </c>
      <c r="B40" s="3" t="s">
        <v>80</v>
      </c>
      <c r="C40" s="3" t="s">
        <v>3228</v>
      </c>
    </row>
    <row r="41" spans="1:3" ht="36" customHeight="1">
      <c r="A41" s="2" t="s">
        <v>3229</v>
      </c>
      <c r="B41" s="2" t="s">
        <v>80</v>
      </c>
      <c r="C41" s="2" t="s">
        <v>3230</v>
      </c>
    </row>
    <row r="42" spans="1:3" ht="36" customHeight="1">
      <c r="A42" s="3" t="s">
        <v>3231</v>
      </c>
      <c r="B42" s="3" t="s">
        <v>80</v>
      </c>
      <c r="C42" s="3" t="s">
        <v>3232</v>
      </c>
    </row>
    <row r="43" spans="1:3" ht="36" customHeight="1">
      <c r="A43" s="2" t="s">
        <v>3233</v>
      </c>
      <c r="B43" s="2" t="s">
        <v>80</v>
      </c>
      <c r="C43" s="2" t="s">
        <v>3234</v>
      </c>
    </row>
    <row r="44" spans="1:3" ht="36" customHeight="1">
      <c r="A44" s="3" t="s">
        <v>3235</v>
      </c>
      <c r="B44" s="3" t="s">
        <v>80</v>
      </c>
      <c r="C44" s="3" t="s">
        <v>3236</v>
      </c>
    </row>
  </sheetData>
  <mergeCells count="3">
    <mergeCell ref="A1:H1"/>
    <mergeCell ref="A2:H2"/>
    <mergeCell ref="A4:C4"/>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29"/>
  <sheetViews>
    <sheetView showGridLines="0" zoomScaleNormal="100" workbookViewId="0">
      <pane ySplit="4" topLeftCell="A5" activePane="bottomLeft" state="frozen"/>
      <selection pane="bottomLeft"/>
    </sheetView>
  </sheetViews>
  <sheetFormatPr defaultColWidth="8.7109375" defaultRowHeight="15"/>
  <cols>
    <col min="1" max="1" width="28" customWidth="1"/>
    <col min="2" max="2" width="32" customWidth="1"/>
    <col min="3" max="3" width="30" customWidth="1"/>
    <col min="4" max="5" width="12" customWidth="1"/>
    <col min="6" max="6" width="72" customWidth="1"/>
  </cols>
  <sheetData>
    <row r="1" spans="1:8" ht="27.75" customHeight="1">
      <c r="A1" s="12" t="s">
        <v>38</v>
      </c>
      <c r="B1" s="12"/>
      <c r="C1" s="12"/>
      <c r="D1" s="12"/>
      <c r="E1" s="12"/>
      <c r="F1" s="12"/>
      <c r="G1" s="12"/>
      <c r="H1" s="12"/>
    </row>
    <row r="2" spans="1:8" ht="33.75" customHeight="1">
      <c r="A2" s="13" t="s">
        <v>39</v>
      </c>
      <c r="B2" s="13"/>
      <c r="C2" s="13"/>
      <c r="D2" s="13"/>
      <c r="E2" s="13"/>
      <c r="F2" s="13"/>
      <c r="G2" s="13"/>
      <c r="H2" s="13"/>
    </row>
    <row r="4" spans="1:8" ht="22.5" customHeight="1">
      <c r="A4" s="11" t="s">
        <v>3237</v>
      </c>
      <c r="B4" s="11"/>
      <c r="C4" s="11"/>
      <c r="D4" s="11"/>
    </row>
    <row r="5" spans="1:8" ht="36" customHeight="1">
      <c r="A5" s="4" t="s">
        <v>3238</v>
      </c>
    </row>
    <row r="6" spans="1:8" ht="36" customHeight="1">
      <c r="A6" s="3" t="s">
        <v>3239</v>
      </c>
    </row>
    <row r="7" spans="1:8" ht="36" customHeight="1">
      <c r="A7" s="2" t="s">
        <v>3037</v>
      </c>
      <c r="B7" s="2" t="s">
        <v>3240</v>
      </c>
      <c r="C7" s="2" t="s">
        <v>3241</v>
      </c>
      <c r="D7" s="2" t="s">
        <v>42</v>
      </c>
    </row>
    <row r="8" spans="1:8" ht="36" customHeight="1">
      <c r="A8" s="3" t="s">
        <v>3242</v>
      </c>
      <c r="B8" s="3" t="s">
        <v>3243</v>
      </c>
      <c r="C8" s="3" t="s">
        <v>3244</v>
      </c>
      <c r="D8" s="3" t="s">
        <v>3245</v>
      </c>
    </row>
    <row r="9" spans="1:8" ht="36" customHeight="1">
      <c r="A9" s="2" t="s">
        <v>3246</v>
      </c>
      <c r="B9" s="2" t="s">
        <v>3243</v>
      </c>
      <c r="C9" s="2" t="s">
        <v>3247</v>
      </c>
      <c r="D9" s="2" t="s">
        <v>3245</v>
      </c>
    </row>
    <row r="10" spans="1:8" ht="36" customHeight="1">
      <c r="A10" s="3" t="s">
        <v>3248</v>
      </c>
      <c r="B10" s="3" t="s">
        <v>3249</v>
      </c>
      <c r="C10" s="3" t="s">
        <v>3250</v>
      </c>
      <c r="D10" s="3" t="s">
        <v>3245</v>
      </c>
    </row>
    <row r="11" spans="1:8" ht="36" customHeight="1">
      <c r="A11" s="2" t="s">
        <v>3251</v>
      </c>
      <c r="B11" s="2" t="s">
        <v>3252</v>
      </c>
    </row>
    <row r="12" spans="1:8" ht="36" customHeight="1">
      <c r="A12" s="3" t="s">
        <v>3253</v>
      </c>
      <c r="B12" s="3" t="s">
        <v>3254</v>
      </c>
      <c r="C12" s="3" t="s">
        <v>3255</v>
      </c>
      <c r="D12" s="3" t="s">
        <v>3245</v>
      </c>
    </row>
    <row r="13" spans="1:8" ht="36" customHeight="1">
      <c r="A13" s="2" t="s">
        <v>3256</v>
      </c>
      <c r="B13" s="5">
        <v>46238</v>
      </c>
      <c r="C13" s="2" t="s">
        <v>3257</v>
      </c>
      <c r="D13" s="2" t="s">
        <v>3245</v>
      </c>
    </row>
    <row r="14" spans="1:8" ht="36" customHeight="1">
      <c r="A14" s="3" t="s">
        <v>3258</v>
      </c>
      <c r="B14" s="6">
        <v>46239</v>
      </c>
      <c r="C14" s="3" t="s">
        <v>3259</v>
      </c>
      <c r="D14" s="3" t="s">
        <v>3245</v>
      </c>
    </row>
    <row r="15" spans="1:8" ht="36" customHeight="1">
      <c r="A15" s="2" t="s">
        <v>3260</v>
      </c>
      <c r="B15" s="5">
        <v>46239</v>
      </c>
      <c r="C15" s="2" t="s">
        <v>3261</v>
      </c>
      <c r="D15" s="2" t="s">
        <v>3245</v>
      </c>
    </row>
    <row r="16" spans="1:8" ht="36" customHeight="1">
      <c r="A16" s="3" t="s">
        <v>3262</v>
      </c>
      <c r="B16" s="6">
        <v>46239</v>
      </c>
      <c r="C16" s="3" t="s">
        <v>3263</v>
      </c>
      <c r="D16" s="3" t="s">
        <v>3245</v>
      </c>
    </row>
    <row r="17" spans="1:6" ht="36" customHeight="1">
      <c r="A17" s="2" t="s">
        <v>3264</v>
      </c>
      <c r="B17" s="5">
        <v>46241</v>
      </c>
      <c r="C17" s="2" t="s">
        <v>3265</v>
      </c>
      <c r="D17" s="2" t="s">
        <v>153</v>
      </c>
    </row>
    <row r="19" spans="1:6" ht="22.5" customHeight="1">
      <c r="A19" s="11" t="s">
        <v>3266</v>
      </c>
      <c r="B19" s="11"/>
      <c r="C19" s="11"/>
    </row>
    <row r="20" spans="1:6" ht="36" customHeight="1">
      <c r="A20" s="4" t="s">
        <v>3267</v>
      </c>
    </row>
    <row r="21" spans="1:6" ht="36" customHeight="1">
      <c r="A21" s="3" t="s">
        <v>3268</v>
      </c>
    </row>
    <row r="22" spans="1:6" ht="36" customHeight="1">
      <c r="A22" s="2" t="s">
        <v>3269</v>
      </c>
      <c r="B22" s="2" t="s">
        <v>3270</v>
      </c>
      <c r="C22" s="2" t="s">
        <v>42</v>
      </c>
    </row>
    <row r="23" spans="1:6" ht="36" customHeight="1">
      <c r="A23" s="3" t="s">
        <v>3271</v>
      </c>
      <c r="B23" s="3" t="s">
        <v>3272</v>
      </c>
      <c r="C23" s="3" t="s">
        <v>3273</v>
      </c>
    </row>
    <row r="24" spans="1:6" ht="36" customHeight="1">
      <c r="A24" s="2" t="s">
        <v>3274</v>
      </c>
      <c r="B24" s="2" t="s">
        <v>3275</v>
      </c>
      <c r="C24" s="2" t="s">
        <v>3273</v>
      </c>
    </row>
    <row r="25" spans="1:6" ht="36" customHeight="1">
      <c r="A25" s="3" t="s">
        <v>3276</v>
      </c>
      <c r="B25" s="3" t="s">
        <v>3277</v>
      </c>
      <c r="C25" s="3" t="s">
        <v>3273</v>
      </c>
    </row>
    <row r="26" spans="1:6" ht="36" customHeight="1">
      <c r="A26" s="2" t="s">
        <v>3278</v>
      </c>
      <c r="B26" s="2" t="s">
        <v>3279</v>
      </c>
      <c r="C26" s="2" t="s">
        <v>3273</v>
      </c>
    </row>
    <row r="29" spans="1:6" ht="15" customHeight="1">
      <c r="A29" s="14" t="s">
        <v>3280</v>
      </c>
      <c r="B29" s="14"/>
      <c r="C29" s="14"/>
      <c r="D29" s="14"/>
      <c r="E29" s="14"/>
      <c r="F29" s="14"/>
    </row>
    <row r="30" spans="1:6" ht="15" customHeight="1">
      <c r="A30" s="1" t="s">
        <v>3281</v>
      </c>
      <c r="B30" s="1" t="s">
        <v>3282</v>
      </c>
      <c r="C30" s="1" t="s">
        <v>3283</v>
      </c>
      <c r="D30" s="1" t="s">
        <v>3284</v>
      </c>
      <c r="E30" s="1" t="s">
        <v>3285</v>
      </c>
      <c r="F30" s="1" t="s">
        <v>3286</v>
      </c>
    </row>
    <row r="31" spans="1:6" ht="33.75" customHeight="1">
      <c r="A31" s="2" t="s">
        <v>3287</v>
      </c>
      <c r="B31" s="2" t="s">
        <v>3288</v>
      </c>
      <c r="C31" s="2" t="s">
        <v>9</v>
      </c>
      <c r="D31" s="2">
        <v>4</v>
      </c>
      <c r="E31" s="2">
        <v>13</v>
      </c>
      <c r="F31" s="2" t="s">
        <v>3289</v>
      </c>
    </row>
    <row r="32" spans="1:6" ht="33.75" customHeight="1">
      <c r="A32" s="3" t="s">
        <v>3287</v>
      </c>
      <c r="B32" s="3" t="s">
        <v>3290</v>
      </c>
      <c r="C32" s="3" t="s">
        <v>9</v>
      </c>
      <c r="D32" s="3">
        <v>15</v>
      </c>
      <c r="E32" s="3">
        <v>26</v>
      </c>
      <c r="F32" s="3" t="s">
        <v>3289</v>
      </c>
    </row>
    <row r="33" spans="1:6" ht="33.75" customHeight="1">
      <c r="A33" s="2" t="s">
        <v>3287</v>
      </c>
      <c r="B33" s="2" t="s">
        <v>3291</v>
      </c>
      <c r="C33" s="2" t="s">
        <v>9</v>
      </c>
      <c r="D33" s="2">
        <v>28</v>
      </c>
      <c r="E33" s="2">
        <v>39</v>
      </c>
      <c r="F33" s="2" t="s">
        <v>3289</v>
      </c>
    </row>
    <row r="34" spans="1:6" ht="33.75" customHeight="1">
      <c r="A34" s="3" t="s">
        <v>3287</v>
      </c>
      <c r="B34" s="3" t="s">
        <v>3292</v>
      </c>
      <c r="C34" s="3" t="s">
        <v>9</v>
      </c>
      <c r="D34" s="3">
        <v>41</v>
      </c>
      <c r="E34" s="3">
        <v>54</v>
      </c>
      <c r="F34" s="3" t="s">
        <v>3289</v>
      </c>
    </row>
    <row r="35" spans="1:6" ht="33.75" customHeight="1">
      <c r="A35" s="2" t="s">
        <v>3287</v>
      </c>
      <c r="B35" s="2" t="s">
        <v>3293</v>
      </c>
      <c r="C35" s="2" t="s">
        <v>9</v>
      </c>
      <c r="D35" s="2">
        <v>56</v>
      </c>
      <c r="E35" s="2">
        <v>69</v>
      </c>
      <c r="F35" s="2" t="s">
        <v>3289</v>
      </c>
    </row>
    <row r="36" spans="1:6" ht="33.75" customHeight="1">
      <c r="A36" s="3" t="s">
        <v>3287</v>
      </c>
      <c r="B36" s="3" t="s">
        <v>3294</v>
      </c>
      <c r="C36" s="3" t="s">
        <v>11</v>
      </c>
      <c r="D36" s="3">
        <v>4</v>
      </c>
      <c r="E36" s="3">
        <v>14</v>
      </c>
      <c r="F36" s="3" t="s">
        <v>3289</v>
      </c>
    </row>
    <row r="37" spans="1:6" ht="33.75" customHeight="1">
      <c r="A37" s="2" t="s">
        <v>3287</v>
      </c>
      <c r="B37" s="2" t="s">
        <v>3295</v>
      </c>
      <c r="C37" s="2" t="s">
        <v>11</v>
      </c>
      <c r="D37" s="2">
        <v>16</v>
      </c>
      <c r="E37" s="2">
        <v>27</v>
      </c>
      <c r="F37" s="2" t="s">
        <v>3289</v>
      </c>
    </row>
    <row r="38" spans="1:6" ht="33.75" customHeight="1">
      <c r="A38" s="3" t="s">
        <v>3287</v>
      </c>
      <c r="B38" s="3" t="s">
        <v>389</v>
      </c>
      <c r="C38" s="3" t="s">
        <v>11</v>
      </c>
      <c r="D38" s="3">
        <v>29</v>
      </c>
      <c r="E38" s="3">
        <v>48</v>
      </c>
      <c r="F38" s="3" t="s">
        <v>3289</v>
      </c>
    </row>
    <row r="39" spans="1:6" ht="33.75" customHeight="1">
      <c r="A39" s="2" t="s">
        <v>3287</v>
      </c>
      <c r="B39" s="2" t="s">
        <v>3296</v>
      </c>
      <c r="C39" s="2" t="s">
        <v>11</v>
      </c>
      <c r="D39" s="2">
        <v>50</v>
      </c>
      <c r="E39" s="2">
        <v>69</v>
      </c>
      <c r="F39" s="2" t="s">
        <v>3289</v>
      </c>
    </row>
    <row r="40" spans="1:6" ht="33.75" customHeight="1">
      <c r="A40" s="3" t="s">
        <v>3287</v>
      </c>
      <c r="B40" s="3" t="s">
        <v>3297</v>
      </c>
      <c r="C40" s="3" t="s">
        <v>11</v>
      </c>
      <c r="D40" s="3">
        <v>71</v>
      </c>
      <c r="E40" s="3">
        <v>90</v>
      </c>
      <c r="F40" s="3" t="s">
        <v>3289</v>
      </c>
    </row>
    <row r="41" spans="1:6" ht="33.75" customHeight="1">
      <c r="A41" s="2" t="s">
        <v>3287</v>
      </c>
      <c r="B41" s="2" t="s">
        <v>3298</v>
      </c>
      <c r="C41" s="2" t="s">
        <v>11</v>
      </c>
      <c r="D41" s="2">
        <v>92</v>
      </c>
      <c r="E41" s="2">
        <v>98</v>
      </c>
      <c r="F41" s="2" t="s">
        <v>3289</v>
      </c>
    </row>
    <row r="42" spans="1:6" ht="33.75" customHeight="1">
      <c r="A42" s="3" t="s">
        <v>3287</v>
      </c>
      <c r="B42" s="3" t="s">
        <v>303</v>
      </c>
      <c r="C42" s="3" t="s">
        <v>13</v>
      </c>
      <c r="D42" s="3">
        <v>4</v>
      </c>
      <c r="E42" s="3">
        <v>15</v>
      </c>
      <c r="F42" s="3" t="s">
        <v>3289</v>
      </c>
    </row>
    <row r="43" spans="1:6" ht="33.75" customHeight="1">
      <c r="A43" s="2" t="s">
        <v>3287</v>
      </c>
      <c r="B43" s="2" t="s">
        <v>3299</v>
      </c>
      <c r="C43" s="2" t="s">
        <v>13</v>
      </c>
      <c r="D43" s="2">
        <v>17</v>
      </c>
      <c r="E43" s="2">
        <v>31</v>
      </c>
      <c r="F43" s="2" t="s">
        <v>3289</v>
      </c>
    </row>
    <row r="44" spans="1:6" ht="33.75" customHeight="1">
      <c r="A44" s="3" t="s">
        <v>3287</v>
      </c>
      <c r="B44" s="3" t="s">
        <v>3300</v>
      </c>
      <c r="C44" s="3" t="s">
        <v>13</v>
      </c>
      <c r="D44" s="3">
        <v>33</v>
      </c>
      <c r="E44" s="3">
        <v>49</v>
      </c>
      <c r="F44" s="3" t="s">
        <v>3289</v>
      </c>
    </row>
    <row r="45" spans="1:6" ht="33.75" customHeight="1">
      <c r="A45" s="2" t="s">
        <v>3287</v>
      </c>
      <c r="B45" s="2" t="s">
        <v>3301</v>
      </c>
      <c r="C45" s="2" t="s">
        <v>13</v>
      </c>
      <c r="D45" s="2">
        <v>51</v>
      </c>
      <c r="E45" s="2">
        <v>69</v>
      </c>
      <c r="F45" s="2" t="s">
        <v>3289</v>
      </c>
    </row>
    <row r="46" spans="1:6" ht="33.75" customHeight="1">
      <c r="A46" s="3" t="s">
        <v>3287</v>
      </c>
      <c r="B46" s="3" t="s">
        <v>3302</v>
      </c>
      <c r="C46" s="3" t="s">
        <v>15</v>
      </c>
      <c r="D46" s="3">
        <v>4</v>
      </c>
      <c r="E46" s="3">
        <v>23</v>
      </c>
      <c r="F46" s="3" t="s">
        <v>3289</v>
      </c>
    </row>
    <row r="47" spans="1:6" ht="33.75" customHeight="1">
      <c r="A47" s="2" t="s">
        <v>3287</v>
      </c>
      <c r="B47" s="2" t="s">
        <v>3303</v>
      </c>
      <c r="C47" s="2" t="s">
        <v>15</v>
      </c>
      <c r="D47" s="2">
        <v>25</v>
      </c>
      <c r="E47" s="2">
        <v>48</v>
      </c>
      <c r="F47" s="2" t="s">
        <v>3289</v>
      </c>
    </row>
    <row r="48" spans="1:6" ht="33.75" customHeight="1">
      <c r="A48" s="3" t="s">
        <v>3287</v>
      </c>
      <c r="B48" s="3" t="s">
        <v>3304</v>
      </c>
      <c r="C48" s="3" t="s">
        <v>15</v>
      </c>
      <c r="D48" s="3">
        <v>50</v>
      </c>
      <c r="E48" s="3">
        <v>64</v>
      </c>
      <c r="F48" s="3" t="s">
        <v>3289</v>
      </c>
    </row>
    <row r="49" spans="1:6" ht="33.75" customHeight="1">
      <c r="A49" s="2" t="s">
        <v>3287</v>
      </c>
      <c r="B49" s="2" t="s">
        <v>3305</v>
      </c>
      <c r="C49" s="2" t="s">
        <v>15</v>
      </c>
      <c r="D49" s="2">
        <v>66</v>
      </c>
      <c r="E49" s="2">
        <v>78</v>
      </c>
      <c r="F49" s="2" t="s">
        <v>3289</v>
      </c>
    </row>
    <row r="50" spans="1:6" ht="33.75" customHeight="1">
      <c r="A50" s="3" t="s">
        <v>3287</v>
      </c>
      <c r="B50" s="3" t="s">
        <v>3306</v>
      </c>
      <c r="C50" s="3" t="s">
        <v>15</v>
      </c>
      <c r="D50" s="3">
        <v>80</v>
      </c>
      <c r="E50" s="3">
        <v>93</v>
      </c>
      <c r="F50" s="3" t="s">
        <v>3289</v>
      </c>
    </row>
    <row r="51" spans="1:6" ht="33.75" customHeight="1">
      <c r="A51" s="2" t="s">
        <v>3287</v>
      </c>
      <c r="B51" s="2" t="s">
        <v>3307</v>
      </c>
      <c r="C51" s="2" t="s">
        <v>15</v>
      </c>
      <c r="D51" s="2">
        <v>95</v>
      </c>
      <c r="E51" s="2">
        <v>105</v>
      </c>
      <c r="F51" s="2" t="s">
        <v>3289</v>
      </c>
    </row>
    <row r="52" spans="1:6" ht="33.75" customHeight="1">
      <c r="A52" s="3" t="s">
        <v>3287</v>
      </c>
      <c r="B52" s="3" t="s">
        <v>904</v>
      </c>
      <c r="C52" s="3" t="s">
        <v>15</v>
      </c>
      <c r="D52" s="3">
        <v>107</v>
      </c>
      <c r="E52" s="3">
        <v>214</v>
      </c>
      <c r="F52" s="3" t="s">
        <v>3289</v>
      </c>
    </row>
    <row r="53" spans="1:6" ht="33.75" customHeight="1">
      <c r="A53" s="2" t="s">
        <v>3287</v>
      </c>
      <c r="B53" s="2" t="s">
        <v>3308</v>
      </c>
      <c r="C53" s="2" t="s">
        <v>17</v>
      </c>
      <c r="D53" s="2">
        <v>4</v>
      </c>
      <c r="E53" s="2">
        <v>63</v>
      </c>
      <c r="F53" s="2" t="s">
        <v>3289</v>
      </c>
    </row>
    <row r="54" spans="1:6" ht="33.75" customHeight="1">
      <c r="A54" s="3" t="s">
        <v>3287</v>
      </c>
      <c r="B54" s="3" t="s">
        <v>3309</v>
      </c>
      <c r="C54" s="3" t="s">
        <v>17</v>
      </c>
      <c r="D54" s="3">
        <v>65</v>
      </c>
      <c r="E54" s="3">
        <v>115</v>
      </c>
      <c r="F54" s="3" t="s">
        <v>3289</v>
      </c>
    </row>
    <row r="55" spans="1:6" ht="33.75" customHeight="1">
      <c r="A55" s="2" t="s">
        <v>3287</v>
      </c>
      <c r="B55" s="2" t="s">
        <v>3310</v>
      </c>
      <c r="C55" s="2" t="s">
        <v>19</v>
      </c>
      <c r="D55" s="2">
        <v>4</v>
      </c>
      <c r="E55" s="2">
        <v>13</v>
      </c>
      <c r="F55" s="2" t="s">
        <v>3289</v>
      </c>
    </row>
    <row r="56" spans="1:6" ht="33.75" customHeight="1">
      <c r="A56" s="3" t="s">
        <v>3287</v>
      </c>
      <c r="B56" s="3" t="s">
        <v>1919</v>
      </c>
      <c r="C56" s="3" t="s">
        <v>19</v>
      </c>
      <c r="D56" s="3">
        <v>15</v>
      </c>
      <c r="E56" s="3">
        <v>73</v>
      </c>
      <c r="F56" s="3" t="s">
        <v>3289</v>
      </c>
    </row>
    <row r="57" spans="1:6" ht="33.75" customHeight="1">
      <c r="A57" s="2" t="s">
        <v>3287</v>
      </c>
      <c r="B57" s="2" t="s">
        <v>3311</v>
      </c>
      <c r="C57" s="2" t="s">
        <v>19</v>
      </c>
      <c r="D57" s="2">
        <v>75</v>
      </c>
      <c r="E57" s="2">
        <v>80</v>
      </c>
      <c r="F57" s="2" t="s">
        <v>3289</v>
      </c>
    </row>
    <row r="58" spans="1:6" ht="33.75" customHeight="1">
      <c r="A58" s="3" t="s">
        <v>3287</v>
      </c>
      <c r="B58" s="3" t="s">
        <v>3312</v>
      </c>
      <c r="C58" s="3" t="s">
        <v>19</v>
      </c>
      <c r="D58" s="3">
        <v>82</v>
      </c>
      <c r="E58" s="3">
        <v>86</v>
      </c>
      <c r="F58" s="3" t="s">
        <v>3289</v>
      </c>
    </row>
    <row r="59" spans="1:6" ht="33.75" customHeight="1">
      <c r="A59" s="2" t="s">
        <v>3287</v>
      </c>
      <c r="B59" s="2" t="s">
        <v>3313</v>
      </c>
      <c r="C59" s="2" t="s">
        <v>21</v>
      </c>
      <c r="D59" s="2">
        <v>4</v>
      </c>
      <c r="E59" s="2">
        <v>24</v>
      </c>
      <c r="F59" s="2" t="s">
        <v>3289</v>
      </c>
    </row>
    <row r="60" spans="1:6" ht="33.75" customHeight="1">
      <c r="A60" s="3" t="s">
        <v>3287</v>
      </c>
      <c r="B60" s="3" t="s">
        <v>3314</v>
      </c>
      <c r="C60" s="3" t="s">
        <v>21</v>
      </c>
      <c r="D60" s="3">
        <v>26</v>
      </c>
      <c r="E60" s="3">
        <v>44</v>
      </c>
      <c r="F60" s="3" t="s">
        <v>3289</v>
      </c>
    </row>
    <row r="61" spans="1:6" ht="33.75" customHeight="1">
      <c r="A61" s="2" t="s">
        <v>3287</v>
      </c>
      <c r="B61" s="2" t="s">
        <v>2087</v>
      </c>
      <c r="C61" s="2" t="s">
        <v>23</v>
      </c>
      <c r="D61" s="2">
        <v>4</v>
      </c>
      <c r="E61" s="2">
        <v>12</v>
      </c>
      <c r="F61" s="2" t="s">
        <v>3289</v>
      </c>
    </row>
    <row r="62" spans="1:6" ht="33.75" customHeight="1">
      <c r="A62" s="3" t="s">
        <v>3287</v>
      </c>
      <c r="B62" s="3" t="s">
        <v>3315</v>
      </c>
      <c r="C62" s="3" t="s">
        <v>23</v>
      </c>
      <c r="D62" s="3">
        <v>14</v>
      </c>
      <c r="E62" s="3">
        <v>32</v>
      </c>
      <c r="F62" s="3" t="s">
        <v>3289</v>
      </c>
    </row>
    <row r="63" spans="1:6" ht="33.75" customHeight="1">
      <c r="A63" s="2" t="s">
        <v>3287</v>
      </c>
      <c r="B63" s="2" t="s">
        <v>3316</v>
      </c>
      <c r="C63" s="2" t="s">
        <v>23</v>
      </c>
      <c r="D63" s="2">
        <v>34</v>
      </c>
      <c r="E63" s="2">
        <v>40</v>
      </c>
      <c r="F63" s="2" t="s">
        <v>3289</v>
      </c>
    </row>
    <row r="64" spans="1:6" ht="33.75" customHeight="1">
      <c r="A64" s="3" t="s">
        <v>3287</v>
      </c>
      <c r="B64" s="3" t="s">
        <v>3317</v>
      </c>
      <c r="C64" s="3" t="s">
        <v>25</v>
      </c>
      <c r="D64" s="3">
        <v>4</v>
      </c>
      <c r="E64" s="3">
        <v>24</v>
      </c>
      <c r="F64" s="3" t="s">
        <v>3289</v>
      </c>
    </row>
    <row r="65" spans="1:6" ht="33.75" customHeight="1">
      <c r="A65" s="2" t="s">
        <v>3287</v>
      </c>
      <c r="B65" s="2" t="s">
        <v>3318</v>
      </c>
      <c r="C65" s="2" t="s">
        <v>25</v>
      </c>
      <c r="D65" s="2">
        <v>26</v>
      </c>
      <c r="E65" s="2">
        <v>44</v>
      </c>
      <c r="F65" s="2" t="s">
        <v>3289</v>
      </c>
    </row>
    <row r="66" spans="1:6" ht="33.75" customHeight="1">
      <c r="A66" s="3" t="s">
        <v>3287</v>
      </c>
      <c r="B66" s="3" t="s">
        <v>3319</v>
      </c>
      <c r="C66" s="3" t="s">
        <v>25</v>
      </c>
      <c r="D66" s="3">
        <v>46</v>
      </c>
      <c r="E66" s="3">
        <v>59</v>
      </c>
      <c r="F66" s="3" t="s">
        <v>3289</v>
      </c>
    </row>
    <row r="67" spans="1:6" ht="33.75" customHeight="1">
      <c r="A67" s="2" t="s">
        <v>3287</v>
      </c>
      <c r="B67" s="2" t="s">
        <v>2293</v>
      </c>
      <c r="C67" s="2" t="s">
        <v>25</v>
      </c>
      <c r="D67" s="2">
        <v>61</v>
      </c>
      <c r="E67" s="2">
        <v>74</v>
      </c>
      <c r="F67" s="2" t="s">
        <v>3289</v>
      </c>
    </row>
    <row r="68" spans="1:6" ht="33.75" customHeight="1">
      <c r="A68" s="3" t="s">
        <v>3287</v>
      </c>
      <c r="B68" s="3" t="s">
        <v>3320</v>
      </c>
      <c r="C68" s="3" t="s">
        <v>25</v>
      </c>
      <c r="D68" s="3">
        <v>76</v>
      </c>
      <c r="E68" s="3">
        <v>88</v>
      </c>
      <c r="F68" s="3" t="s">
        <v>3289</v>
      </c>
    </row>
    <row r="69" spans="1:6" ht="33.75" customHeight="1">
      <c r="A69" s="2" t="s">
        <v>3287</v>
      </c>
      <c r="B69" s="2" t="s">
        <v>3321</v>
      </c>
      <c r="C69" s="2" t="s">
        <v>25</v>
      </c>
      <c r="D69" s="2">
        <v>90</v>
      </c>
      <c r="E69" s="2">
        <v>94</v>
      </c>
      <c r="F69" s="2" t="s">
        <v>3289</v>
      </c>
    </row>
    <row r="70" spans="1:6" ht="33.75" customHeight="1">
      <c r="A70" s="3" t="s">
        <v>3287</v>
      </c>
      <c r="B70" s="3" t="s">
        <v>3322</v>
      </c>
      <c r="C70" s="3" t="s">
        <v>25</v>
      </c>
      <c r="D70" s="3">
        <v>96</v>
      </c>
      <c r="E70" s="3">
        <v>102</v>
      </c>
      <c r="F70" s="3" t="s">
        <v>3289</v>
      </c>
    </row>
    <row r="71" spans="1:6" ht="33.75" customHeight="1">
      <c r="A71" s="2" t="s">
        <v>3287</v>
      </c>
      <c r="B71" s="2" t="s">
        <v>3323</v>
      </c>
      <c r="C71" s="2" t="s">
        <v>25</v>
      </c>
      <c r="D71" s="2">
        <v>104</v>
      </c>
      <c r="E71" s="2">
        <v>114</v>
      </c>
      <c r="F71" s="2" t="s">
        <v>3289</v>
      </c>
    </row>
    <row r="72" spans="1:6" ht="33.75" customHeight="1">
      <c r="A72" s="3" t="s">
        <v>3287</v>
      </c>
      <c r="B72" s="3" t="s">
        <v>3324</v>
      </c>
      <c r="C72" s="3" t="s">
        <v>27</v>
      </c>
      <c r="D72" s="3">
        <v>4</v>
      </c>
      <c r="E72" s="3">
        <v>23</v>
      </c>
      <c r="F72" s="3" t="s">
        <v>3289</v>
      </c>
    </row>
    <row r="73" spans="1:6" ht="33.75" customHeight="1">
      <c r="A73" s="2" t="s">
        <v>31</v>
      </c>
      <c r="B73" s="2" t="s">
        <v>3325</v>
      </c>
      <c r="C73" s="2" t="s">
        <v>29</v>
      </c>
      <c r="D73" s="2">
        <v>4</v>
      </c>
      <c r="E73" s="2">
        <v>13</v>
      </c>
      <c r="F73" s="2" t="s">
        <v>3289</v>
      </c>
    </row>
    <row r="74" spans="1:6" ht="33.75" customHeight="1">
      <c r="A74" s="3" t="s">
        <v>31</v>
      </c>
      <c r="B74" s="3" t="s">
        <v>2551</v>
      </c>
      <c r="C74" s="3" t="s">
        <v>29</v>
      </c>
      <c r="D74" s="3">
        <v>15</v>
      </c>
      <c r="E74" s="3">
        <v>37</v>
      </c>
      <c r="F74" s="3" t="s">
        <v>3289</v>
      </c>
    </row>
    <row r="75" spans="1:6" ht="33.75" customHeight="1">
      <c r="A75" s="2" t="s">
        <v>31</v>
      </c>
      <c r="B75" s="2" t="s">
        <v>3326</v>
      </c>
      <c r="C75" s="2" t="s">
        <v>29</v>
      </c>
      <c r="D75" s="2">
        <v>39</v>
      </c>
      <c r="E75" s="2">
        <v>49</v>
      </c>
      <c r="F75" s="2" t="s">
        <v>3289</v>
      </c>
    </row>
    <row r="76" spans="1:6" ht="33.75" customHeight="1">
      <c r="A76" s="3" t="s">
        <v>31</v>
      </c>
      <c r="B76" s="3" t="s">
        <v>3327</v>
      </c>
      <c r="C76" s="3" t="s">
        <v>29</v>
      </c>
      <c r="D76" s="3">
        <v>51</v>
      </c>
      <c r="E76" s="3">
        <v>77</v>
      </c>
      <c r="F76" s="3" t="s">
        <v>3289</v>
      </c>
    </row>
    <row r="77" spans="1:6" ht="33.75" customHeight="1">
      <c r="A77" s="2" t="s">
        <v>31</v>
      </c>
      <c r="B77" s="2" t="s">
        <v>3328</v>
      </c>
      <c r="C77" s="2" t="s">
        <v>29</v>
      </c>
      <c r="D77" s="2">
        <v>79</v>
      </c>
      <c r="E77" s="2">
        <v>95</v>
      </c>
      <c r="F77" s="2" t="s">
        <v>3289</v>
      </c>
    </row>
    <row r="78" spans="1:6" ht="33.75" customHeight="1">
      <c r="A78" s="3" t="s">
        <v>31</v>
      </c>
      <c r="B78" s="3" t="s">
        <v>3329</v>
      </c>
      <c r="C78" s="3" t="s">
        <v>32</v>
      </c>
      <c r="D78" s="3">
        <v>4</v>
      </c>
      <c r="E78" s="3">
        <v>18</v>
      </c>
      <c r="F78" s="3" t="s">
        <v>3289</v>
      </c>
    </row>
    <row r="79" spans="1:6" ht="33.75" customHeight="1">
      <c r="A79" s="2" t="s">
        <v>31</v>
      </c>
      <c r="B79" s="2" t="s">
        <v>3330</v>
      </c>
      <c r="C79" s="2" t="s">
        <v>32</v>
      </c>
      <c r="D79" s="2">
        <v>20</v>
      </c>
      <c r="E79" s="2">
        <v>33</v>
      </c>
      <c r="F79" s="2" t="s">
        <v>3289</v>
      </c>
    </row>
    <row r="80" spans="1:6" ht="33.75" customHeight="1">
      <c r="A80" s="3" t="s">
        <v>31</v>
      </c>
      <c r="B80" s="3" t="s">
        <v>2789</v>
      </c>
      <c r="C80" s="3" t="s">
        <v>32</v>
      </c>
      <c r="D80" s="3">
        <v>35</v>
      </c>
      <c r="E80" s="3">
        <v>46</v>
      </c>
      <c r="F80" s="3" t="s">
        <v>3289</v>
      </c>
    </row>
    <row r="81" spans="1:6" ht="33.75" customHeight="1">
      <c r="A81" s="2" t="s">
        <v>31</v>
      </c>
      <c r="B81" s="2" t="s">
        <v>3331</v>
      </c>
      <c r="C81" s="2" t="s">
        <v>32</v>
      </c>
      <c r="D81" s="2">
        <v>48</v>
      </c>
      <c r="E81" s="2">
        <v>61</v>
      </c>
      <c r="F81" s="2" t="s">
        <v>3289</v>
      </c>
    </row>
    <row r="82" spans="1:6" ht="33.75" customHeight="1">
      <c r="A82" s="3" t="s">
        <v>31</v>
      </c>
      <c r="B82" s="3" t="s">
        <v>3332</v>
      </c>
      <c r="C82" s="3" t="s">
        <v>32</v>
      </c>
      <c r="D82" s="3">
        <v>63</v>
      </c>
      <c r="E82" s="3">
        <v>83</v>
      </c>
      <c r="F82" s="3" t="s">
        <v>3289</v>
      </c>
    </row>
    <row r="83" spans="1:6" ht="33.75" customHeight="1">
      <c r="A83" s="2" t="s">
        <v>31</v>
      </c>
      <c r="B83" s="2" t="s">
        <v>2900</v>
      </c>
      <c r="C83" s="2" t="s">
        <v>34</v>
      </c>
      <c r="D83" s="2">
        <v>4</v>
      </c>
      <c r="E83" s="2">
        <v>12</v>
      </c>
      <c r="F83" s="2" t="s">
        <v>3289</v>
      </c>
    </row>
    <row r="84" spans="1:6" ht="33.75" customHeight="1">
      <c r="A84" s="3" t="s">
        <v>31</v>
      </c>
      <c r="B84" s="3" t="s">
        <v>2915</v>
      </c>
      <c r="C84" s="3" t="s">
        <v>34</v>
      </c>
      <c r="D84" s="3">
        <v>14</v>
      </c>
      <c r="E84" s="3">
        <v>34</v>
      </c>
      <c r="F84" s="3" t="s">
        <v>3289</v>
      </c>
    </row>
    <row r="85" spans="1:6" ht="33.75" customHeight="1">
      <c r="A85" s="2" t="s">
        <v>31</v>
      </c>
      <c r="B85" s="2" t="s">
        <v>2969</v>
      </c>
      <c r="C85" s="2" t="s">
        <v>34</v>
      </c>
      <c r="D85" s="2">
        <v>36</v>
      </c>
      <c r="E85" s="2">
        <v>54</v>
      </c>
      <c r="F85" s="2" t="s">
        <v>3289</v>
      </c>
    </row>
    <row r="86" spans="1:6" ht="33.75" customHeight="1">
      <c r="A86" s="3" t="s">
        <v>31</v>
      </c>
      <c r="B86" s="3" t="s">
        <v>3333</v>
      </c>
      <c r="C86" s="3" t="s">
        <v>34</v>
      </c>
      <c r="D86" s="3">
        <v>56</v>
      </c>
      <c r="E86" s="3">
        <v>84</v>
      </c>
      <c r="F86" s="3" t="s">
        <v>3289</v>
      </c>
    </row>
    <row r="87" spans="1:6" ht="33.75" customHeight="1">
      <c r="A87" s="2" t="s">
        <v>31</v>
      </c>
      <c r="B87" s="2" t="s">
        <v>3334</v>
      </c>
      <c r="C87" s="2" t="s">
        <v>34</v>
      </c>
      <c r="D87" s="2">
        <v>86</v>
      </c>
      <c r="E87" s="2">
        <v>117</v>
      </c>
      <c r="F87" s="2" t="s">
        <v>3289</v>
      </c>
    </row>
    <row r="88" spans="1:6" ht="33.75" customHeight="1">
      <c r="A88" s="3" t="s">
        <v>31</v>
      </c>
      <c r="B88" s="3" t="s">
        <v>3335</v>
      </c>
      <c r="C88" s="3" t="s">
        <v>34</v>
      </c>
      <c r="D88" s="3">
        <v>119</v>
      </c>
      <c r="E88" s="3">
        <v>141</v>
      </c>
      <c r="F88" s="3" t="s">
        <v>3289</v>
      </c>
    </row>
    <row r="89" spans="1:6" ht="33.75" customHeight="1">
      <c r="A89" s="2" t="s">
        <v>3287</v>
      </c>
      <c r="B89" s="2" t="s">
        <v>3336</v>
      </c>
      <c r="C89" s="2" t="s">
        <v>36</v>
      </c>
      <c r="D89" s="2">
        <v>4</v>
      </c>
      <c r="E89" s="2">
        <v>44</v>
      </c>
      <c r="F89" s="2" t="s">
        <v>3289</v>
      </c>
    </row>
    <row r="90" spans="1:6" ht="33.75" customHeight="1">
      <c r="A90" s="3" t="s">
        <v>3287</v>
      </c>
      <c r="B90" s="3" t="s">
        <v>3337</v>
      </c>
      <c r="C90" s="3" t="s">
        <v>38</v>
      </c>
      <c r="D90" s="3">
        <v>4</v>
      </c>
      <c r="E90" s="3">
        <v>17</v>
      </c>
      <c r="F90" s="3" t="s">
        <v>3289</v>
      </c>
    </row>
    <row r="91" spans="1:6" ht="33.75" customHeight="1">
      <c r="A91" s="2" t="s">
        <v>3287</v>
      </c>
      <c r="B91" s="2" t="s">
        <v>3338</v>
      </c>
      <c r="C91" s="2" t="s">
        <v>38</v>
      </c>
      <c r="D91" s="2">
        <v>19</v>
      </c>
      <c r="E91" s="2">
        <v>26</v>
      </c>
      <c r="F91" s="2" t="s">
        <v>3289</v>
      </c>
    </row>
    <row r="92" spans="1:6" ht="33.75" customHeight="1">
      <c r="A92" s="3" t="s">
        <v>3287</v>
      </c>
      <c r="B92" s="3" t="s">
        <v>47</v>
      </c>
      <c r="C92" s="3" t="s">
        <v>6</v>
      </c>
      <c r="D92" s="3">
        <v>5</v>
      </c>
      <c r="E92" s="3">
        <v>9</v>
      </c>
      <c r="F92" s="3" t="s">
        <v>3339</v>
      </c>
    </row>
    <row r="93" spans="1:6" ht="33.75" customHeight="1">
      <c r="A93" s="2" t="s">
        <v>3287</v>
      </c>
      <c r="B93" s="2" t="s">
        <v>3340</v>
      </c>
      <c r="C93" s="2" t="s">
        <v>6</v>
      </c>
      <c r="D93" s="2">
        <v>10</v>
      </c>
      <c r="E93" s="2">
        <v>73</v>
      </c>
      <c r="F93" s="2" t="s">
        <v>3341</v>
      </c>
    </row>
    <row r="94" spans="1:6" ht="33.75" customHeight="1">
      <c r="A94" s="3" t="s">
        <v>3287</v>
      </c>
      <c r="B94" s="3" t="s">
        <v>3342</v>
      </c>
      <c r="C94" s="3" t="s">
        <v>3343</v>
      </c>
      <c r="D94" s="3"/>
      <c r="E94" s="3"/>
      <c r="F94" s="3" t="s">
        <v>3344</v>
      </c>
    </row>
    <row r="95" spans="1:6" ht="33.75" customHeight="1">
      <c r="A95" s="2" t="s">
        <v>3287</v>
      </c>
      <c r="B95" s="2" t="s">
        <v>47</v>
      </c>
      <c r="C95" s="2" t="s">
        <v>3343</v>
      </c>
      <c r="D95" s="2"/>
      <c r="E95" s="2"/>
      <c r="F95" s="2" t="s">
        <v>3345</v>
      </c>
    </row>
    <row r="96" spans="1:6" ht="33.75" customHeight="1">
      <c r="A96" s="3" t="s">
        <v>3287</v>
      </c>
      <c r="B96" s="3" t="s">
        <v>3340</v>
      </c>
      <c r="C96" s="3" t="s">
        <v>3343</v>
      </c>
      <c r="D96" s="3"/>
      <c r="E96" s="3"/>
      <c r="F96" s="3" t="s">
        <v>3346</v>
      </c>
    </row>
    <row r="97" spans="1:6" ht="33.75" customHeight="1">
      <c r="A97" s="2" t="s">
        <v>3287</v>
      </c>
      <c r="B97" s="2" t="s">
        <v>3347</v>
      </c>
      <c r="C97" s="2" t="s">
        <v>3343</v>
      </c>
      <c r="D97" s="2"/>
      <c r="E97" s="2"/>
      <c r="F97" s="2" t="s">
        <v>3348</v>
      </c>
    </row>
    <row r="98" spans="1:6" ht="33.75" customHeight="1">
      <c r="A98" s="3" t="s">
        <v>3287</v>
      </c>
      <c r="B98" s="3" t="s">
        <v>3349</v>
      </c>
      <c r="C98" s="3" t="s">
        <v>3343</v>
      </c>
      <c r="D98" s="3"/>
      <c r="E98" s="3"/>
      <c r="F98" s="3" t="s">
        <v>3350</v>
      </c>
    </row>
    <row r="99" spans="1:6" ht="33.75" customHeight="1">
      <c r="A99" s="2" t="s">
        <v>3287</v>
      </c>
      <c r="B99" s="2" t="s">
        <v>3351</v>
      </c>
      <c r="C99" s="2" t="s">
        <v>3343</v>
      </c>
      <c r="D99" s="2"/>
      <c r="E99" s="2"/>
      <c r="F99" s="2" t="s">
        <v>3352</v>
      </c>
    </row>
    <row r="100" spans="1:6" ht="33.75" customHeight="1">
      <c r="A100" s="3" t="s">
        <v>3287</v>
      </c>
      <c r="B100" s="3" t="s">
        <v>3353</v>
      </c>
      <c r="C100" s="3" t="s">
        <v>3343</v>
      </c>
      <c r="D100" s="3"/>
      <c r="E100" s="3"/>
      <c r="F100" s="3" t="s">
        <v>3354</v>
      </c>
    </row>
    <row r="101" spans="1:6" ht="33.75" customHeight="1">
      <c r="A101" s="2" t="s">
        <v>31</v>
      </c>
      <c r="B101" s="2" t="s">
        <v>3337</v>
      </c>
      <c r="C101" s="2" t="s">
        <v>3355</v>
      </c>
      <c r="D101" s="2"/>
      <c r="E101" s="2"/>
      <c r="F101" s="2" t="s">
        <v>3356</v>
      </c>
    </row>
    <row r="102" spans="1:6" ht="33.75" customHeight="1">
      <c r="A102" s="3" t="s">
        <v>31</v>
      </c>
      <c r="B102" s="3" t="s">
        <v>3357</v>
      </c>
      <c r="C102" s="3" t="s">
        <v>3355</v>
      </c>
      <c r="D102" s="3"/>
      <c r="E102" s="3"/>
      <c r="F102" s="3" t="s">
        <v>3356</v>
      </c>
    </row>
    <row r="103" spans="1:6" ht="33.75" customHeight="1">
      <c r="A103" s="2" t="s">
        <v>31</v>
      </c>
      <c r="B103" s="2" t="s">
        <v>2561</v>
      </c>
      <c r="C103" s="2" t="s">
        <v>3355</v>
      </c>
      <c r="D103" s="2"/>
      <c r="E103" s="2"/>
      <c r="F103" s="2" t="s">
        <v>3356</v>
      </c>
    </row>
    <row r="104" spans="1:6" ht="33.75" customHeight="1">
      <c r="A104" s="3" t="s">
        <v>31</v>
      </c>
      <c r="B104" s="3" t="s">
        <v>3358</v>
      </c>
      <c r="C104" s="3" t="s">
        <v>3355</v>
      </c>
      <c r="D104" s="3"/>
      <c r="E104" s="3"/>
      <c r="F104" s="3" t="s">
        <v>3356</v>
      </c>
    </row>
    <row r="105" spans="1:6" ht="33.75" customHeight="1">
      <c r="A105" s="2" t="s">
        <v>31</v>
      </c>
      <c r="B105" s="2" t="s">
        <v>3359</v>
      </c>
      <c r="C105" s="2" t="s">
        <v>3355</v>
      </c>
      <c r="D105" s="2"/>
      <c r="E105" s="2"/>
      <c r="F105" s="2" t="s">
        <v>3356</v>
      </c>
    </row>
    <row r="106" spans="1:6" ht="33.75" customHeight="1">
      <c r="A106" s="3" t="s">
        <v>31</v>
      </c>
      <c r="B106" s="3" t="s">
        <v>3360</v>
      </c>
      <c r="C106" s="3" t="s">
        <v>3355</v>
      </c>
      <c r="D106" s="3"/>
      <c r="E106" s="3"/>
      <c r="F106" s="3" t="s">
        <v>3356</v>
      </c>
    </row>
    <row r="107" spans="1:6" ht="33.75" customHeight="1">
      <c r="A107" s="2" t="s">
        <v>31</v>
      </c>
      <c r="B107" s="2" t="s">
        <v>3361</v>
      </c>
      <c r="C107" s="2" t="s">
        <v>3355</v>
      </c>
      <c r="D107" s="2"/>
      <c r="E107" s="2"/>
      <c r="F107" s="2" t="s">
        <v>3356</v>
      </c>
    </row>
    <row r="108" spans="1:6" ht="33.75" customHeight="1">
      <c r="A108" s="3" t="s">
        <v>31</v>
      </c>
      <c r="B108" s="3" t="s">
        <v>3362</v>
      </c>
      <c r="C108" s="3" t="s">
        <v>3355</v>
      </c>
      <c r="D108" s="3"/>
      <c r="E108" s="3"/>
      <c r="F108" s="3" t="s">
        <v>3356</v>
      </c>
    </row>
    <row r="109" spans="1:6" ht="33.75" customHeight="1">
      <c r="A109" s="2" t="s">
        <v>31</v>
      </c>
      <c r="B109" s="2" t="s">
        <v>3363</v>
      </c>
      <c r="C109" s="2" t="s">
        <v>3355</v>
      </c>
      <c r="D109" s="2"/>
      <c r="E109" s="2"/>
      <c r="F109" s="2" t="s">
        <v>3356</v>
      </c>
    </row>
    <row r="112" spans="1:6" ht="15" customHeight="1">
      <c r="A112" s="14" t="s">
        <v>3364</v>
      </c>
      <c r="B112" s="14"/>
      <c r="C112" s="14"/>
      <c r="D112" s="14"/>
    </row>
    <row r="113" spans="1:4" ht="15" customHeight="1">
      <c r="A113" s="7" t="s">
        <v>3365</v>
      </c>
      <c r="B113" s="7" t="s">
        <v>3366</v>
      </c>
      <c r="C113" s="7" t="s">
        <v>3367</v>
      </c>
      <c r="D113" s="7" t="s">
        <v>42</v>
      </c>
    </row>
    <row r="114" spans="1:4" ht="23.25" customHeight="1">
      <c r="A114" s="3" t="s">
        <v>3368</v>
      </c>
      <c r="B114" s="3">
        <v>52</v>
      </c>
      <c r="C114" s="3">
        <v>52</v>
      </c>
      <c r="D114" s="8" t="s">
        <v>3369</v>
      </c>
    </row>
    <row r="115" spans="1:4" ht="23.25" customHeight="1">
      <c r="A115" s="2" t="s">
        <v>3370</v>
      </c>
      <c r="B115" s="2">
        <v>25</v>
      </c>
      <c r="C115" s="2">
        <v>25</v>
      </c>
      <c r="D115" s="8" t="s">
        <v>3369</v>
      </c>
    </row>
    <row r="116" spans="1:4" ht="57" customHeight="1">
      <c r="A116" s="3" t="s">
        <v>3371</v>
      </c>
      <c r="B116" s="3">
        <v>591</v>
      </c>
      <c r="C116" s="3">
        <v>481</v>
      </c>
      <c r="D116" s="8" t="s">
        <v>3372</v>
      </c>
    </row>
    <row r="117" spans="1:4" ht="15" customHeight="1">
      <c r="A117" s="2" t="s">
        <v>3373</v>
      </c>
      <c r="B117" s="2">
        <v>47</v>
      </c>
      <c r="C117" s="2">
        <v>47</v>
      </c>
      <c r="D117" s="8" t="s">
        <v>3369</v>
      </c>
    </row>
    <row r="118" spans="1:4" ht="23.25" customHeight="1">
      <c r="A118" s="3" t="s">
        <v>3374</v>
      </c>
      <c r="B118" s="3">
        <v>55</v>
      </c>
      <c r="C118" s="3">
        <v>55</v>
      </c>
      <c r="D118" s="8" t="s">
        <v>3369</v>
      </c>
    </row>
    <row r="119" spans="1:4" ht="15" customHeight="1">
      <c r="A119" s="2" t="s">
        <v>3375</v>
      </c>
      <c r="B119" s="2">
        <v>15</v>
      </c>
      <c r="C119" s="2">
        <v>15</v>
      </c>
      <c r="D119" s="8" t="s">
        <v>3369</v>
      </c>
    </row>
    <row r="120" spans="1:4" ht="15" customHeight="1">
      <c r="A120" s="3" t="s">
        <v>3376</v>
      </c>
      <c r="B120" s="3">
        <v>16</v>
      </c>
      <c r="C120" s="3">
        <v>16</v>
      </c>
      <c r="D120" s="8" t="s">
        <v>3369</v>
      </c>
    </row>
    <row r="123" spans="1:4" ht="15" customHeight="1">
      <c r="A123" s="15" t="s">
        <v>3377</v>
      </c>
      <c r="B123" s="15"/>
      <c r="C123" s="15"/>
      <c r="D123" s="15"/>
    </row>
    <row r="124" spans="1:4" ht="15" customHeight="1">
      <c r="A124" t="s">
        <v>3378</v>
      </c>
      <c r="B124" t="s">
        <v>3379</v>
      </c>
      <c r="C124" t="s">
        <v>3380</v>
      </c>
      <c r="D124" t="s">
        <v>3381</v>
      </c>
    </row>
    <row r="125" spans="1:4" ht="15" customHeight="1">
      <c r="A125" t="s">
        <v>3382</v>
      </c>
      <c r="B125" t="s">
        <v>3383</v>
      </c>
      <c r="C125" t="s">
        <v>3384</v>
      </c>
      <c r="D125" t="s">
        <v>3385</v>
      </c>
    </row>
    <row r="127" spans="1:4" ht="15" customHeight="1">
      <c r="A127" s="9" t="s">
        <v>3386</v>
      </c>
      <c r="B127" s="9">
        <v>21</v>
      </c>
      <c r="C127" s="9"/>
      <c r="D127" s="10" t="s">
        <v>3369</v>
      </c>
    </row>
    <row r="129" spans="1:4">
      <c r="A129" t="s">
        <v>3387</v>
      </c>
      <c r="B129">
        <v>198</v>
      </c>
      <c r="C129" t="s">
        <v>3388</v>
      </c>
      <c r="D129" t="s">
        <v>3369</v>
      </c>
    </row>
  </sheetData>
  <mergeCells count="7">
    <mergeCell ref="A112:D112"/>
    <mergeCell ref="A123:D123"/>
    <mergeCell ref="A1:H1"/>
    <mergeCell ref="A2:H2"/>
    <mergeCell ref="A4:D4"/>
    <mergeCell ref="A19:C19"/>
    <mergeCell ref="A29:F2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CTRBLXAI Implementation Manual v1.0</dc:title>
  <dc:subject>Single-source game rules, authoritative catalogs, runtime contracts, pipelines, and validation</dc:subject>
  <dc:creator>Pilac, Elmer Valdez</dc:creator>
  <cp:keywords/>
  <dc:description>Consolidated from Core Game Manual v0.9 and Architecture v4 without legacy summary-sheet duplication.</dc:description>
  <cp:lastModifiedBy/>
  <cp:revision>0</cp:revision>
  <dcterms:created xsi:type="dcterms:W3CDTF">2026-08-07T16:14:37Z</dcterms:created>
  <dcterms:modified xsi:type="dcterms:W3CDTF">2026-08-08T11:25:16Z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394ae5-69af-439d-af88-cb521c31c0c5_Enabled">
    <vt:lpwstr>true</vt:lpwstr>
  </property>
  <property fmtid="{D5CDD505-2E9C-101B-9397-08002B2CF9AE}" pid="3" name="MSIP_Label_15394ae5-69af-439d-af88-cb521c31c0c5_SetDate">
    <vt:lpwstr>2026-08-07T16:14:37Z</vt:lpwstr>
  </property>
  <property fmtid="{D5CDD505-2E9C-101B-9397-08002B2CF9AE}" pid="4" name="MSIP_Label_15394ae5-69af-439d-af88-cb521c31c0c5_Method">
    <vt:lpwstr>Standard</vt:lpwstr>
  </property>
  <property fmtid="{D5CDD505-2E9C-101B-9397-08002B2CF9AE}" pid="5" name="MSIP_Label_15394ae5-69af-439d-af88-cb521c31c0c5_Name">
    <vt:lpwstr>DXC Internal</vt:lpwstr>
  </property>
  <property fmtid="{D5CDD505-2E9C-101B-9397-08002B2CF9AE}" pid="6" name="MSIP_Label_15394ae5-69af-439d-af88-cb521c31c0c5_SiteId">
    <vt:lpwstr>93f33571-550f-43cf-b09f-cd331338d086</vt:lpwstr>
  </property>
  <property fmtid="{D5CDD505-2E9C-101B-9397-08002B2CF9AE}" pid="7" name="MSIP_Label_15394ae5-69af-439d-af88-cb521c31c0c5_ActionId">
    <vt:lpwstr>da684f73-ada5-434a-af74-960ab930ef7c</vt:lpwstr>
  </property>
  <property fmtid="{D5CDD505-2E9C-101B-9397-08002B2CF9AE}" pid="8" name="MSIP_Label_15394ae5-69af-439d-af88-cb521c31c0c5_ContentBits">
    <vt:lpwstr>0</vt:lpwstr>
  </property>
</Properties>
</file>