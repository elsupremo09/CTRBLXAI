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xr:revisionPtr revIDLastSave="0" documentId="8_{105C4556-29AD-441E-AE61-588DDCC376DF}" xr6:coauthVersionLast="47" xr6:coauthVersionMax="47" xr10:uidLastSave="{00000000-0000-0000-0000-000000000000}"/>
  <bookViews>
    <workbookView xWindow="0" yWindow="0" windowWidth="16384" windowHeight="8192" firstSheet="1" activeTab="1" xr2:uid="{00000000-000D-0000-FFFF-FFFF00000000}"/>
  </bookViews>
  <sheets>
    <sheet name="Executive Summary" sheetId="1" r:id="rId1"/>
    <sheet name="Focus Archetypes" sheetId="2" r:id="rId2"/>
    <sheet name="All Weapon Simulation" sheetId="3" r:id="rId3"/>
    <sheet name="Focus Comparison L99" sheetId="4" r:id="rId4"/>
    <sheet name="Methodology" sheetId="5" r:id="rId5"/>
    <sheet name="Source Archetypes" sheetId="6" r:id="rId6"/>
    <sheet name="Recommendation" sheetId="7"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<sst xmlns="http://schemas.openxmlformats.org/spreadsheetml/2006/main" count="437" uniqueCount="108">
  <si>
    <t>Focus</t>
  </si>
  <si>
    <t>Passive</t>
  </si>
  <si>
    <t>Reassessed Passive BP</t>
  </si>
  <si>
    <t>Optimized-niche Utility</t>
  </si>
  <si>
    <t>L1 BP</t>
  </si>
  <si>
    <t>L99 BP</t>
  </si>
  <si>
    <t>Role</t>
  </si>
  <si>
    <t>Wand</t>
  </si>
  <si>
    <t>Quick Invocation</t>
  </si>
  <si>
    <t>Tempo / broad Skill use</t>
  </si>
  <si>
    <t>Orb</t>
  </si>
  <si>
    <t>Arcane Rhythm</t>
  </si>
  <si>
    <t>Basic Attack / Direct Skill hybrid</t>
  </si>
  <si>
    <t>Talisman</t>
  </si>
  <si>
    <t>Protective Inscription</t>
  </si>
  <si>
    <t>Defensive support</t>
  </si>
  <si>
    <t>Staff</t>
  </si>
  <si>
    <t>Arcane Reach</t>
  </si>
  <si>
    <t>Long-range Skill support</t>
  </si>
  <si>
    <t>Grimoire</t>
  </si>
  <si>
    <t>Focused Formula</t>
  </si>
  <si>
    <t>Offensive Skill scaling</t>
  </si>
  <si>
    <t>Totem</t>
  </si>
  <si>
    <t>Ritual Anchor</t>
  </si>
  <si>
    <t>Channel / defensive anchor</t>
  </si>
  <si>
    <t>Weapon</t>
  </si>
  <si>
    <t>Family</t>
  </si>
  <si>
    <t>Projectile</t>
  </si>
  <si>
    <t>Hands</t>
  </si>
  <si>
    <t>Min</t>
  </si>
  <si>
    <t>Max</t>
  </si>
  <si>
    <t>Pattern</t>
  </si>
  <si>
    <t>Pattern BP</t>
  </si>
  <si>
    <t>Passive BP</t>
  </si>
  <si>
    <t>L1 Dmg</t>
  </si>
  <si>
    <t>L1 WT</t>
  </si>
  <si>
    <t>L1 Delay</t>
  </si>
  <si>
    <t>L1 Def</t>
  </si>
  <si>
    <t>L99 Dmg</t>
  </si>
  <si>
    <t>L99 WT</t>
  </si>
  <si>
    <t>L99 Delay</t>
  </si>
  <si>
    <t>L99 Def</t>
  </si>
  <si>
    <t>Direct</t>
  </si>
  <si>
    <t>1H</t>
  </si>
  <si>
    <t>Single</t>
  </si>
  <si>
    <t>None</t>
  </si>
  <si>
    <t>Arc</t>
  </si>
  <si>
    <t>2H</t>
  </si>
  <si>
    <t>Level</t>
  </si>
  <si>
    <t>Range</t>
  </si>
  <si>
    <t>BP</t>
  </si>
  <si>
    <t>Damage/1000</t>
  </si>
  <si>
    <t>RT Delay/1000</t>
  </si>
  <si>
    <t>Durability Index</t>
  </si>
  <si>
    <t>Attacks/1000</t>
  </si>
  <si>
    <t>Passive Utility</t>
  </si>
  <si>
    <t>Special Potential</t>
  </si>
  <si>
    <t>1H Flexibility</t>
  </si>
  <si>
    <t>Overall Potential Index</t>
  </si>
  <si>
    <t>Dominated By</t>
  </si>
  <si>
    <t>Sword</t>
  </si>
  <si>
    <t>Melee</t>
  </si>
  <si>
    <t>Orb, Talisman</t>
  </si>
  <si>
    <t>Dagger</t>
  </si>
  <si>
    <t>Claws</t>
  </si>
  <si>
    <t>Grimoire, Totem</t>
  </si>
  <si>
    <t>Hammer</t>
  </si>
  <si>
    <t>Orb, Totem</t>
  </si>
  <si>
    <t>Greatsword</t>
  </si>
  <si>
    <t>Spear</t>
  </si>
  <si>
    <t>Whip</t>
  </si>
  <si>
    <t>Club</t>
  </si>
  <si>
    <t>War Axe</t>
  </si>
  <si>
    <t>Orb, Staff, Grimoire, Totem</t>
  </si>
  <si>
    <t>Longbow</t>
  </si>
  <si>
    <t>Ranged</t>
  </si>
  <si>
    <t>Hand Crossbow</t>
  </si>
  <si>
    <t>Sling</t>
  </si>
  <si>
    <t>Blowgun</t>
  </si>
  <si>
    <t>Bombard</t>
  </si>
  <si>
    <t>Repeating Crossbow</t>
  </si>
  <si>
    <t>Item</t>
  </si>
  <si>
    <t>Definition</t>
  </si>
  <si>
    <t>Passive costs</t>
  </si>
  <si>
    <t>Wand 20; Orb 70; Talisman 60; Staff 130; Grimoire 20; Totem 50. These are reassessed working simulation prices.</t>
  </si>
  <si>
    <t>BP target</t>
  </si>
  <si>
    <t>Each Focus endpoint optimized to exactly 1000 BP using the Weapon BP Builder v4 equations.</t>
  </si>
  <si>
    <t>Scenario inputs</t>
  </si>
  <si>
    <t>STR 63.5, VIT 63.5, Armor Defense 40, Armor WT 80, target Defense 45, expected attacks per turn 2.</t>
  </si>
  <si>
    <t>Passive utility</t>
  </si>
  <si>
    <t>Uses optimized-niche mean from the earlier Monte Carlo sensitivity run: Wand 0.97%, Orb 6.88%, Talisman 6.08%, Staff 12.77%, Grimoire 2.08%, Totem 5.26%.</t>
  </si>
  <si>
    <t>Conventional passive handling</t>
  </si>
  <si>
    <t>Existing weapon passive and pattern effects are not separately simulated; their authored BP allocations remain included in each weapon total.</t>
  </si>
  <si>
    <t>Percentile composite: Damage/1000 20%, RT Delay/1000 15%, Durability 15%, Range 25%, Passive Utility 25%. This is a comparison lens, not a locked game rule.</t>
  </si>
  <si>
    <t>Dominance</t>
  </si>
  <si>
    <t>A weapon is dominated only if another weapon is at least as high on damage, RT delay, durability, range, authored special potential, and 1H flexibility, and strictly higher on at least one.</t>
  </si>
  <si>
    <t>Important limit</t>
  </si>
  <si>
    <t>Map-specific reach, AOE target count, elemental interactions, poison value, knockback value, and exact Skill selection can change matchups. No final balance lock is claimed.</t>
  </si>
  <si>
    <t>Piercing Edge / Brutal</t>
  </si>
  <si>
    <t>Cleave</t>
  </si>
  <si>
    <t>Line 2</t>
  </si>
  <si>
    <t>Push / Knockback 1</t>
  </si>
  <si>
    <t>Venomous</t>
  </si>
  <si>
    <t>Impact Splash</t>
  </si>
  <si>
    <t>Rank</t>
  </si>
  <si>
    <t>Index</t>
  </si>
  <si>
    <t>Assessment</t>
  </si>
  <si>
    <t>No strict superiority detected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</si>
</sst>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font>
      <sz val="11"/>
      <color theme="1"/>
      <name val="Calibri"/>
      <family val="2"/>
      <charset val="1"/>
    </font>
    <font>
      <b/>
      <sz val="11"/>
      <color rgb="FFFFFFFF"/>
      <name val="Cambria"/>
      <charset val="1"/>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0" fillId="0" borderId="0" xfId="0" applyAlignment="1">
      <alignment vertical="top" wrapText="1"/>
    </xf>
    <xf numFmtId="164" fontId="0" fillId="0" borderId="0" xfId="0" applyNumberFormat="1" applyAlignment="1">
      <alignment vertical="top" wrapText="1"/>
    </xf>
    <xf numFmtId="2" fontId="0" fillId="0" borderId="0" xfId="0" applyNumberForma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Focus Overall Potential Index (L99)</a:t>
            </a:r>
          </a:p>
        </c:rich>
      </c:tx>
      <c:overlay val="0"/>
      <c:spPr>
        <a:noFill/>
        <a:ln w="0">
          <a:noFill/>
        </a:ln>
      </c:spPr>
    </c:title>
    <c:autoTitleDeleted val="0"/>
    <c:plotArea>
      <c:layout/>
      <c:barChart>
        <c:barDir val="col"/>
        <c:grouping val="clustered"/>
        <c:varyColors val="0"/>
        <c:ser>
          <c:idx val="0"/>
          <c:order val="0"/>
          <c:tx>
            <c:strRef>
              <c:f>'Focus Comparison L99'!N1</c:f>
              <c:strCache>
                <c:ptCount val="1"/>
                <c:pt idx="0">
                  <c:v>Overall Potential Index</c:v>
                </c:pt>
              </c:strCache>
            </c:strRef>
          </c:tx>
          <c:spPr>
            <a:solidFill>
              <a:srgbClr val="4F81BD"/>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'Focus Comparison L99'!$A$2:$A$7</c:f>
              <c:strCache>
                <c:ptCount val="6"/>
                <c:pt idx="0">
                  <c:v>Wand</c:v>
                </c:pt>
                <c:pt idx="1">
                  <c:v>Orb</c:v>
                </c:pt>
                <c:pt idx="2">
                  <c:v>Talisman</c:v>
                </c:pt>
                <c:pt idx="3">
                  <c:v>Staff</c:v>
                </c:pt>
                <c:pt idx="4">
                  <c:v>Grimoire</c:v>
                </c:pt>
                <c:pt idx="5">
                  <c:v>Totem</c:v>
                </c:pt>
              </c:strCache>
            </c:strRef>
          </c:cat>
          <c:val>
            <c:numRef>
              <c:f>'Focus Comparison L99'!$N$2:$N$7</c:f>
              <c:numCache>
                <c:formatCode>0.00</c:formatCode>
                <c:ptCount val="6"/>
                <c:pt idx="0">
                  <c:v>48.75</c:v>
                </c:pt>
                <c:pt idx="1">
                  <c:v>62.5</c:v>
                </c:pt>
                <c:pt idx="2">
                  <c:v>61.5</c:v>
                </c:pt>
                <c:pt idx="3">
                  <c:v>65.25</c:v>
                </c:pt>
                <c:pt idx="4">
                  <c:v>56.75</c:v>
                </c:pt>
                <c:pt idx="5">
                  <c:v>71.75</c:v>
                </c:pt>
              </c:numCache>
            </c:numRef>
          </c:val>
          <c:extLst>
            <c:ext xmlns:c16="http://schemas.microsoft.com/office/drawing/2014/chart" uri="{C3380CC4-5D6E-409C-BE32-E72D297353CC}">
              <c16:uniqueId val="{00000000-4BB7-465B-A1DA-9BA506C995D2}"/>
            </c:ext>
          </c:extLst>
        </c:ser>
        <c:dLbls>
          <c:showLegendKey val="0"/>
          <c:showVal val="0"/>
          <c:showCatName val="0"/>
          <c:showSerName val="0"/>
          <c:showPercent val="0"/>
          <c:showBubbleSize val="0"/>
        </c:dLbls>
        <c:gapWidth val="150"/>
        <c:axId val="44348772"/>
        <c:axId val="42653774"/>
      </c:barChart>
      <c:catAx>
        <c:axId val="44348772"/>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Focus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42653774"/>
        <c:crosses val="autoZero"/>
        <c:auto val="1"/>
        <c:lblAlgn val="ctr"/>
        <c:lblOffset val="100"/>
        <c:noMultiLvlLbl val="0"/>
      </c:catAx>
      <c:valAx>
        <c:axId val="4265377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Index</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44348772"/>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1</xdr:row>
      <xdr:rowOff>0</xdr:rowOff>
    </xdr:from>
    <xdr:to>
      <xdr:col>20</xdr:col>
      <xdr:colOff>275400</xdr:colOff>
      <xdr:row>16</xdr:row>
      <xdr:rowOff>21960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
  <sheetViews>
    <sheetView showGridLines="0" zoomScaleNormal="100" workbookViewId="0">
      <pane ySplit="1" topLeftCell="A2" activePane="bottomLeft" state="frozen"/>
      <selection pane="bottomLeft"/>
    </sheetView>
  </sheetViews>
  <sheetFormatPr defaultColWidth="8.7109375" defaultRowHeight="15"/>
  <cols>
    <col min="1" max="1" width="16" customWidth="1"/>
    <col min="2" max="2" width="28" customWidth="1"/>
    <col min="3" max="4" width="22" customWidth="1"/>
    <col min="5" max="6" width="12" customWidth="1"/>
    <col min="7" max="7" width="38" customWidth="1"/>
  </cols>
  <sheetData>
    <row r="1" spans="1:7" ht="26.85">
      <c r="A1" s="1" t="s">
        <v>0</v>
      </c>
      <c r="B1" s="1" t="s">
        <v>1</v>
      </c>
      <c r="C1" s="1" t="s">
        <v>2</v>
      </c>
      <c r="D1" s="1" t="s">
        <v>3</v>
      </c>
      <c r="E1" s="1" t="s">
        <v>4</v>
      </c>
      <c r="F1" s="1" t="s">
        <v>5</v>
      </c>
      <c r="G1" s="1" t="s">
        <v>6</v>
      </c>
    </row>
    <row r="2" spans="1:7">
      <c r="A2" s="2" t="s">
        <v>7</v>
      </c>
      <c r="B2" s="2" t="s">
        <v>8</v>
      </c>
      <c r="C2" s="2">
        <v>20</v>
      </c>
      <c r="D2" s="3">
        <v>9.7000000000000003E-3</v>
      </c>
      <c r="E2" s="2">
        <v>1000</v>
      </c>
      <c r="F2" s="2">
        <v>1000</v>
      </c>
      <c r="G2" s="2" t="s">
        <v>9</v>
      </c>
    </row>
    <row r="3" spans="1:7">
      <c r="A3" s="2" t="s">
        <v>10</v>
      </c>
      <c r="B3" s="2" t="s">
        <v>11</v>
      </c>
      <c r="C3" s="2">
        <v>70</v>
      </c>
      <c r="D3" s="3">
        <v>6.88E-2</v>
      </c>
      <c r="E3" s="2">
        <v>1000</v>
      </c>
      <c r="F3" s="2">
        <v>1000</v>
      </c>
      <c r="G3" s="2" t="s">
        <v>12</v>
      </c>
    </row>
    <row r="4" spans="1:7">
      <c r="A4" s="2" t="s">
        <v>13</v>
      </c>
      <c r="B4" s="2" t="s">
        <v>14</v>
      </c>
      <c r="C4" s="2">
        <v>60</v>
      </c>
      <c r="D4" s="3">
        <v>6.08E-2</v>
      </c>
      <c r="E4" s="2">
        <v>1000</v>
      </c>
      <c r="F4" s="2">
        <v>1000</v>
      </c>
      <c r="G4" s="2" t="s">
        <v>15</v>
      </c>
    </row>
    <row r="5" spans="1:7">
      <c r="A5" s="2" t="s">
        <v>16</v>
      </c>
      <c r="B5" s="2" t="s">
        <v>17</v>
      </c>
      <c r="C5" s="2">
        <v>130</v>
      </c>
      <c r="D5" s="3">
        <v>0.12770000000000001</v>
      </c>
      <c r="E5" s="2">
        <v>1000</v>
      </c>
      <c r="F5" s="2">
        <v>1000</v>
      </c>
      <c r="G5" s="2" t="s">
        <v>18</v>
      </c>
    </row>
    <row r="6" spans="1:7">
      <c r="A6" s="2" t="s">
        <v>19</v>
      </c>
      <c r="B6" s="2" t="s">
        <v>20</v>
      </c>
      <c r="C6" s="2">
        <v>20</v>
      </c>
      <c r="D6" s="3">
        <v>2.0799999999999999E-2</v>
      </c>
      <c r="E6" s="2">
        <v>1000</v>
      </c>
      <c r="F6" s="2">
        <v>1000</v>
      </c>
      <c r="G6" s="2" t="s">
        <v>21</v>
      </c>
    </row>
    <row r="7" spans="1:7">
      <c r="A7" s="2" t="s">
        <v>22</v>
      </c>
      <c r="B7" s="2" t="s">
        <v>23</v>
      </c>
      <c r="C7" s="2">
        <v>50</v>
      </c>
      <c r="D7" s="3">
        <v>5.2600000000000001E-2</v>
      </c>
      <c r="E7" s="2">
        <v>1000</v>
      </c>
      <c r="F7" s="2">
        <v>1000</v>
      </c>
      <c r="G7" s="2"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
  <sheetViews>
    <sheetView showGridLines="0" tabSelected="1" zoomScaleNormal="100" workbookViewId="0">
      <pane ySplit="1" topLeftCell="A2" activePane="bottomLeft" state="frozen"/>
      <selection pane="bottomLeft"/>
    </sheetView>
  </sheetViews>
  <sheetFormatPr defaultColWidth="8.7109375" defaultRowHeight="15"/>
  <cols>
    <col min="1" max="1" width="16" customWidth="1"/>
    <col min="2" max="3" width="12" customWidth="1"/>
    <col min="4" max="4" width="10" customWidth="1"/>
    <col min="5" max="6" width="8" customWidth="1"/>
    <col min="7" max="8" width="12" customWidth="1"/>
    <col min="9" max="9" width="26" customWidth="1"/>
    <col min="10" max="10" width="12" customWidth="1"/>
    <col min="11" max="20" width="10" customWidth="1"/>
    <col min="21" max="21" width="36" customWidth="1"/>
  </cols>
  <sheetData>
    <row r="1" spans="1:21" ht="26.85">
      <c r="A1" s="1" t="s">
        <v>25</v>
      </c>
      <c r="B1" s="1" t="s">
        <v>26</v>
      </c>
      <c r="C1" s="1" t="s">
        <v>27</v>
      </c>
      <c r="D1" s="1" t="s">
        <v>28</v>
      </c>
      <c r="E1" s="1" t="s">
        <v>29</v>
      </c>
      <c r="F1" s="1" t="s">
        <v>30</v>
      </c>
      <c r="G1" s="1" t="s">
        <v>31</v>
      </c>
      <c r="H1" s="1" t="s">
        <v>32</v>
      </c>
      <c r="I1" s="1" t="s">
        <v>1</v>
      </c>
      <c r="J1" s="1" t="s">
        <v>33</v>
      </c>
      <c r="K1" s="1" t="s">
        <v>34</v>
      </c>
      <c r="L1" s="1" t="s">
        <v>35</v>
      </c>
      <c r="M1" s="1" t="s">
        <v>36</v>
      </c>
      <c r="N1" s="1" t="s">
        <v>37</v>
      </c>
      <c r="O1" s="1" t="s">
        <v>38</v>
      </c>
      <c r="P1" s="1" t="s">
        <v>39</v>
      </c>
      <c r="Q1" s="1" t="s">
        <v>40</v>
      </c>
      <c r="R1" s="1" t="s">
        <v>41</v>
      </c>
      <c r="S1" s="1" t="s">
        <v>4</v>
      </c>
      <c r="T1" s="1" t="s">
        <v>5</v>
      </c>
      <c r="U1" s="1" t="s">
        <v>6</v>
      </c>
    </row>
    <row r="2" spans="1:21">
      <c r="A2" s="2" t="s">
        <v>7</v>
      </c>
      <c r="B2" s="2" t="s">
        <v>0</v>
      </c>
      <c r="C2" s="2" t="s">
        <v>42</v>
      </c>
      <c r="D2" s="2" t="s">
        <v>43</v>
      </c>
      <c r="E2" s="2">
        <v>1</v>
      </c>
      <c r="F2" s="2">
        <v>3</v>
      </c>
      <c r="G2" s="2" t="s">
        <v>44</v>
      </c>
      <c r="H2" s="2">
        <v>0</v>
      </c>
      <c r="I2" s="2" t="s">
        <v>8</v>
      </c>
      <c r="J2" s="2">
        <v>20</v>
      </c>
      <c r="K2" s="2">
        <v>22</v>
      </c>
      <c r="L2" s="2">
        <v>10</v>
      </c>
      <c r="M2" s="2">
        <v>50</v>
      </c>
      <c r="N2" s="2">
        <v>-1</v>
      </c>
      <c r="O2" s="2">
        <v>54</v>
      </c>
      <c r="P2" s="2">
        <v>76</v>
      </c>
      <c r="Q2" s="2">
        <v>37</v>
      </c>
      <c r="R2" s="2">
        <v>-4</v>
      </c>
      <c r="S2" s="2">
        <v>1000</v>
      </c>
      <c r="T2" s="2">
        <v>1000</v>
      </c>
      <c r="U2" s="2" t="s">
        <v>9</v>
      </c>
    </row>
    <row r="3" spans="1:21">
      <c r="A3" s="2" t="s">
        <v>10</v>
      </c>
      <c r="B3" s="2" t="s">
        <v>0</v>
      </c>
      <c r="C3" s="2" t="s">
        <v>42</v>
      </c>
      <c r="D3" s="2" t="s">
        <v>43</v>
      </c>
      <c r="E3" s="2">
        <v>1</v>
      </c>
      <c r="F3" s="2">
        <v>2</v>
      </c>
      <c r="G3" s="2" t="s">
        <v>44</v>
      </c>
      <c r="H3" s="2">
        <v>0</v>
      </c>
      <c r="I3" s="2" t="s">
        <v>11</v>
      </c>
      <c r="J3" s="2">
        <v>70</v>
      </c>
      <c r="K3" s="2">
        <v>23</v>
      </c>
      <c r="L3" s="2">
        <v>16</v>
      </c>
      <c r="M3" s="2">
        <v>62</v>
      </c>
      <c r="N3" s="2">
        <v>4</v>
      </c>
      <c r="O3" s="2">
        <v>66</v>
      </c>
      <c r="P3" s="2">
        <v>106</v>
      </c>
      <c r="Q3" s="2">
        <v>41</v>
      </c>
      <c r="R3" s="2">
        <v>7</v>
      </c>
      <c r="S3" s="2">
        <v>1000</v>
      </c>
      <c r="T3" s="2">
        <v>1000</v>
      </c>
      <c r="U3" s="2" t="s">
        <v>12</v>
      </c>
    </row>
    <row r="4" spans="1:21">
      <c r="A4" s="2" t="s">
        <v>13</v>
      </c>
      <c r="B4" s="2" t="s">
        <v>0</v>
      </c>
      <c r="C4" s="2" t="s">
        <v>45</v>
      </c>
      <c r="D4" s="2" t="s">
        <v>43</v>
      </c>
      <c r="E4" s="2">
        <v>1</v>
      </c>
      <c r="F4" s="2">
        <v>1</v>
      </c>
      <c r="G4" s="2" t="s">
        <v>44</v>
      </c>
      <c r="H4" s="2">
        <v>0</v>
      </c>
      <c r="I4" s="2" t="s">
        <v>14</v>
      </c>
      <c r="J4" s="2">
        <v>60</v>
      </c>
      <c r="K4" s="2">
        <v>19</v>
      </c>
      <c r="L4" s="2">
        <v>12</v>
      </c>
      <c r="M4" s="2">
        <v>73</v>
      </c>
      <c r="N4" s="2">
        <v>11</v>
      </c>
      <c r="O4" s="2">
        <v>54</v>
      </c>
      <c r="P4" s="2">
        <v>87</v>
      </c>
      <c r="Q4" s="2">
        <v>69</v>
      </c>
      <c r="R4" s="2">
        <v>17</v>
      </c>
      <c r="S4" s="2">
        <v>1000</v>
      </c>
      <c r="T4" s="2">
        <v>1000</v>
      </c>
      <c r="U4" s="2" t="s">
        <v>15</v>
      </c>
    </row>
    <row r="5" spans="1:21">
      <c r="A5" s="2" t="s">
        <v>16</v>
      </c>
      <c r="B5" s="2" t="s">
        <v>0</v>
      </c>
      <c r="C5" s="2" t="s">
        <v>46</v>
      </c>
      <c r="D5" s="2" t="s">
        <v>47</v>
      </c>
      <c r="E5" s="2">
        <v>1</v>
      </c>
      <c r="F5" s="2">
        <v>4</v>
      </c>
      <c r="G5" s="2" t="s">
        <v>44</v>
      </c>
      <c r="H5" s="2">
        <v>0</v>
      </c>
      <c r="I5" s="2" t="s">
        <v>17</v>
      </c>
      <c r="J5" s="2">
        <v>130</v>
      </c>
      <c r="K5" s="2">
        <v>32</v>
      </c>
      <c r="L5" s="2">
        <v>49</v>
      </c>
      <c r="M5" s="2">
        <v>70</v>
      </c>
      <c r="N5" s="2">
        <v>1</v>
      </c>
      <c r="O5" s="2">
        <v>68</v>
      </c>
      <c r="P5" s="2">
        <v>145</v>
      </c>
      <c r="Q5" s="2">
        <v>53</v>
      </c>
      <c r="R5" s="2">
        <v>2</v>
      </c>
      <c r="S5" s="2">
        <v>1000</v>
      </c>
      <c r="T5" s="2">
        <v>1000</v>
      </c>
      <c r="U5" s="2" t="s">
        <v>18</v>
      </c>
    </row>
    <row r="6" spans="1:21">
      <c r="A6" s="2" t="s">
        <v>19</v>
      </c>
      <c r="B6" s="2" t="s">
        <v>0</v>
      </c>
      <c r="C6" s="2" t="s">
        <v>42</v>
      </c>
      <c r="D6" s="2" t="s">
        <v>47</v>
      </c>
      <c r="E6" s="2">
        <v>1</v>
      </c>
      <c r="F6" s="2">
        <v>3</v>
      </c>
      <c r="G6" s="2" t="s">
        <v>44</v>
      </c>
      <c r="H6" s="2">
        <v>0</v>
      </c>
      <c r="I6" s="2" t="s">
        <v>20</v>
      </c>
      <c r="J6" s="2">
        <v>20</v>
      </c>
      <c r="K6" s="2">
        <v>39</v>
      </c>
      <c r="L6" s="2">
        <v>47</v>
      </c>
      <c r="M6" s="2">
        <v>108</v>
      </c>
      <c r="N6" s="2">
        <v>-1</v>
      </c>
      <c r="O6" s="2">
        <v>87</v>
      </c>
      <c r="P6" s="2">
        <v>179</v>
      </c>
      <c r="Q6" s="2">
        <v>73</v>
      </c>
      <c r="R6" s="2">
        <v>-10</v>
      </c>
      <c r="S6" s="2">
        <v>1000</v>
      </c>
      <c r="T6" s="2">
        <v>1000</v>
      </c>
      <c r="U6" s="2" t="s">
        <v>21</v>
      </c>
    </row>
    <row r="7" spans="1:21">
      <c r="A7" s="2" t="s">
        <v>22</v>
      </c>
      <c r="B7" s="2" t="s">
        <v>0</v>
      </c>
      <c r="C7" s="2" t="s">
        <v>45</v>
      </c>
      <c r="D7" s="2" t="s">
        <v>47</v>
      </c>
      <c r="E7" s="2">
        <v>1</v>
      </c>
      <c r="F7" s="2">
        <v>2</v>
      </c>
      <c r="G7" s="2" t="s">
        <v>44</v>
      </c>
      <c r="H7" s="2">
        <v>0</v>
      </c>
      <c r="I7" s="2" t="s">
        <v>23</v>
      </c>
      <c r="J7" s="2">
        <v>50</v>
      </c>
      <c r="K7" s="2">
        <v>37</v>
      </c>
      <c r="L7" s="2">
        <v>18</v>
      </c>
      <c r="M7" s="2">
        <v>105</v>
      </c>
      <c r="N7" s="2">
        <v>7</v>
      </c>
      <c r="O7" s="2">
        <v>86</v>
      </c>
      <c r="P7" s="2">
        <v>160</v>
      </c>
      <c r="Q7" s="2">
        <v>81</v>
      </c>
      <c r="R7" s="2">
        <v>27</v>
      </c>
      <c r="S7" s="2">
        <v>1000</v>
      </c>
      <c r="T7" s="2">
        <v>1000</v>
      </c>
      <c r="U7" s="2" t="s">
        <v>24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3"/>
  <sheetViews>
    <sheetView showGridLines="0" zoomScaleNormal="100" workbookViewId="0">
      <pane ySplit="1" topLeftCell="A2" activePane="bottomLeft" state="frozen"/>
      <selection pane="bottomLeft"/>
    </sheetView>
  </sheetViews>
  <sheetFormatPr defaultColWidth="8.7109375" defaultRowHeight="15"/>
  <cols>
    <col min="1" max="1" width="18" customWidth="1"/>
    <col min="2" max="2" width="14" customWidth="1"/>
    <col min="3" max="3" width="8" customWidth="1"/>
    <col min="4" max="4" width="10" customWidth="1"/>
    <col min="5" max="5" width="9" customWidth="1"/>
    <col min="6" max="6" width="10" customWidth="1"/>
    <col min="7" max="7" width="16" customWidth="1"/>
    <col min="8" max="8" width="18" customWidth="1"/>
    <col min="9" max="9" width="16" customWidth="1"/>
    <col min="10" max="10" width="15" customWidth="1"/>
    <col min="11" max="12" width="16" customWidth="1"/>
    <col min="13" max="13" width="14" customWidth="1"/>
    <col min="14" max="14" width="20" customWidth="1"/>
    <col min="15" max="15" width="42" customWidth="1"/>
    <col min="16" max="16" width="38" customWidth="1"/>
  </cols>
  <sheetData>
    <row r="1" spans="1:16" ht="26.85">
      <c r="A1" s="1" t="s">
        <v>25</v>
      </c>
      <c r="B1" s="1" t="s">
        <v>26</v>
      </c>
      <c r="C1" s="1" t="s">
        <v>48</v>
      </c>
      <c r="D1" s="1" t="s">
        <v>28</v>
      </c>
      <c r="E1" s="1" t="s">
        <v>49</v>
      </c>
      <c r="F1" s="1" t="s">
        <v>50</v>
      </c>
      <c r="G1" s="1" t="s">
        <v>51</v>
      </c>
      <c r="H1" s="1" t="s">
        <v>52</v>
      </c>
      <c r="I1" s="1" t="s">
        <v>53</v>
      </c>
      <c r="J1" s="1" t="s">
        <v>54</v>
      </c>
      <c r="K1" s="1" t="s">
        <v>55</v>
      </c>
      <c r="L1" s="1" t="s">
        <v>56</v>
      </c>
      <c r="M1" s="1" t="s">
        <v>57</v>
      </c>
      <c r="N1" s="1" t="s">
        <v>58</v>
      </c>
      <c r="O1" s="1" t="s">
        <v>59</v>
      </c>
      <c r="P1" s="1" t="s">
        <v>6</v>
      </c>
    </row>
    <row r="2" spans="1:16">
      <c r="A2" s="2" t="s">
        <v>60</v>
      </c>
      <c r="B2" s="2" t="s">
        <v>61</v>
      </c>
      <c r="C2" s="2">
        <v>1</v>
      </c>
      <c r="D2" s="2" t="s">
        <v>43</v>
      </c>
      <c r="E2" s="2">
        <v>1</v>
      </c>
      <c r="F2" s="2">
        <v>654</v>
      </c>
      <c r="G2" s="4">
        <v>19.6484987900024</v>
      </c>
      <c r="H2" s="4">
        <v>136.9564981801</v>
      </c>
      <c r="I2" s="4">
        <v>0.97454437227542501</v>
      </c>
      <c r="J2" s="4">
        <v>3.34301772370307</v>
      </c>
      <c r="K2" s="3">
        <v>0</v>
      </c>
      <c r="L2" s="3">
        <v>0</v>
      </c>
      <c r="M2" s="2">
        <v>1</v>
      </c>
      <c r="N2" s="4">
        <v>32.75</v>
      </c>
      <c r="O2" s="2" t="s">
        <v>62</v>
      </c>
      <c r="P2" s="2"/>
    </row>
    <row r="3" spans="1:16">
      <c r="A3" s="2" t="s">
        <v>60</v>
      </c>
      <c r="B3" s="2" t="s">
        <v>61</v>
      </c>
      <c r="C3" s="2">
        <v>99</v>
      </c>
      <c r="D3" s="2" t="s">
        <v>43</v>
      </c>
      <c r="E3" s="2">
        <v>1</v>
      </c>
      <c r="F3" s="2">
        <v>1000</v>
      </c>
      <c r="G3" s="4">
        <v>169.51474483795201</v>
      </c>
      <c r="H3" s="4">
        <v>190.902868565337</v>
      </c>
      <c r="I3" s="4">
        <v>1</v>
      </c>
      <c r="J3" s="4">
        <v>3.10654201200175</v>
      </c>
      <c r="K3" s="3">
        <v>0</v>
      </c>
      <c r="L3" s="3">
        <v>0</v>
      </c>
      <c r="M3" s="2">
        <v>1</v>
      </c>
      <c r="N3" s="4">
        <v>42.5</v>
      </c>
      <c r="O3" s="2"/>
      <c r="P3" s="2"/>
    </row>
    <row r="4" spans="1:16">
      <c r="A4" s="2" t="s">
        <v>63</v>
      </c>
      <c r="B4" s="2" t="s">
        <v>61</v>
      </c>
      <c r="C4" s="2">
        <v>1</v>
      </c>
      <c r="D4" s="2" t="s">
        <v>43</v>
      </c>
      <c r="E4" s="2">
        <v>1</v>
      </c>
      <c r="F4" s="2">
        <v>693</v>
      </c>
      <c r="G4" s="4">
        <v>20.6989257444672</v>
      </c>
      <c r="H4" s="4">
        <v>18.034789937072599</v>
      </c>
      <c r="I4" s="4">
        <v>0.99151479075847504</v>
      </c>
      <c r="J4" s="4">
        <v>3.52173854933775</v>
      </c>
      <c r="K4" s="3">
        <v>0</v>
      </c>
      <c r="L4" s="3">
        <v>0.12</v>
      </c>
      <c r="M4" s="2">
        <v>1</v>
      </c>
      <c r="N4" s="4">
        <v>44</v>
      </c>
      <c r="O4" s="2"/>
      <c r="P4" s="2"/>
    </row>
    <row r="5" spans="1:16">
      <c r="A5" s="2" t="s">
        <v>63</v>
      </c>
      <c r="B5" s="2" t="s">
        <v>61</v>
      </c>
      <c r="C5" s="2">
        <v>99</v>
      </c>
      <c r="D5" s="2" t="s">
        <v>43</v>
      </c>
      <c r="E5" s="2">
        <v>1</v>
      </c>
      <c r="F5" s="2">
        <v>996</v>
      </c>
      <c r="G5" s="4">
        <v>164.75388976457501</v>
      </c>
      <c r="H5" s="4">
        <v>72.139159748290197</v>
      </c>
      <c r="I5" s="4">
        <v>1.00848520924153</v>
      </c>
      <c r="J5" s="4">
        <v>3.52173854933775</v>
      </c>
      <c r="K5" s="3">
        <v>0</v>
      </c>
      <c r="L5" s="3">
        <v>0.12</v>
      </c>
      <c r="M5" s="2">
        <v>1</v>
      </c>
      <c r="N5" s="4">
        <v>48.5</v>
      </c>
      <c r="O5" s="2"/>
      <c r="P5" s="2"/>
    </row>
    <row r="6" spans="1:16">
      <c r="A6" s="2" t="s">
        <v>64</v>
      </c>
      <c r="B6" s="2" t="s">
        <v>61</v>
      </c>
      <c r="C6" s="2">
        <v>1</v>
      </c>
      <c r="D6" s="2" t="s">
        <v>47</v>
      </c>
      <c r="E6" s="2">
        <v>1</v>
      </c>
      <c r="F6" s="2">
        <v>583</v>
      </c>
      <c r="G6" s="4">
        <v>16.419883977279099</v>
      </c>
      <c r="H6" s="4">
        <v>288.55663899316102</v>
      </c>
      <c r="I6" s="4">
        <v>0.94060353530932495</v>
      </c>
      <c r="J6" s="4">
        <v>3.52173854933775</v>
      </c>
      <c r="K6" s="3">
        <v>0</v>
      </c>
      <c r="L6" s="3">
        <v>0</v>
      </c>
      <c r="M6" s="2">
        <v>0</v>
      </c>
      <c r="N6" s="4">
        <v>26</v>
      </c>
      <c r="O6" s="2" t="s">
        <v>65</v>
      </c>
      <c r="P6" s="2"/>
    </row>
    <row r="7" spans="1:16">
      <c r="A7" s="2" t="s">
        <v>64</v>
      </c>
      <c r="B7" s="2" t="s">
        <v>61</v>
      </c>
      <c r="C7" s="2">
        <v>99</v>
      </c>
      <c r="D7" s="2" t="s">
        <v>47</v>
      </c>
      <c r="E7" s="2">
        <v>1</v>
      </c>
      <c r="F7" s="2">
        <v>999</v>
      </c>
      <c r="G7" s="4">
        <v>125.595011109559</v>
      </c>
      <c r="H7" s="4">
        <v>416.14916833709299</v>
      </c>
      <c r="I7" s="4">
        <v>0.91514790758474995</v>
      </c>
      <c r="J7" s="4">
        <v>3.3859755078963301</v>
      </c>
      <c r="K7" s="3">
        <v>0</v>
      </c>
      <c r="L7" s="3">
        <v>0</v>
      </c>
      <c r="M7" s="2">
        <v>0</v>
      </c>
      <c r="N7" s="4">
        <v>29.5</v>
      </c>
      <c r="O7" s="2"/>
      <c r="P7" s="2"/>
    </row>
    <row r="8" spans="1:16">
      <c r="A8" s="2" t="s">
        <v>66</v>
      </c>
      <c r="B8" s="2" t="s">
        <v>61</v>
      </c>
      <c r="C8" s="2">
        <v>1</v>
      </c>
      <c r="D8" s="2" t="s">
        <v>47</v>
      </c>
      <c r="E8" s="2">
        <v>1</v>
      </c>
      <c r="F8" s="2">
        <v>346</v>
      </c>
      <c r="G8" s="4">
        <v>27.629473427230501</v>
      </c>
      <c r="H8" s="4">
        <v>197.497812819741</v>
      </c>
      <c r="I8" s="4">
        <v>0.97454437227542501</v>
      </c>
      <c r="J8" s="4">
        <v>2.96664077188953</v>
      </c>
      <c r="K8" s="3">
        <v>0</v>
      </c>
      <c r="L8" s="3">
        <v>0</v>
      </c>
      <c r="M8" s="2">
        <v>0</v>
      </c>
      <c r="N8" s="4">
        <v>39</v>
      </c>
      <c r="O8" s="2" t="s">
        <v>67</v>
      </c>
      <c r="P8" s="2"/>
    </row>
    <row r="9" spans="1:16">
      <c r="A9" s="2" t="s">
        <v>66</v>
      </c>
      <c r="B9" s="2" t="s">
        <v>61</v>
      </c>
      <c r="C9" s="2">
        <v>99</v>
      </c>
      <c r="D9" s="2" t="s">
        <v>47</v>
      </c>
      <c r="E9" s="2">
        <v>1</v>
      </c>
      <c r="F9" s="2">
        <v>1001</v>
      </c>
      <c r="G9" s="4">
        <v>201.92368298543599</v>
      </c>
      <c r="H9" s="4">
        <v>310.91417047794801</v>
      </c>
      <c r="I9" s="4">
        <v>1</v>
      </c>
      <c r="J9" s="4">
        <v>2.63972510794322</v>
      </c>
      <c r="K9" s="3">
        <v>0</v>
      </c>
      <c r="L9" s="3">
        <v>0</v>
      </c>
      <c r="M9" s="2">
        <v>0</v>
      </c>
      <c r="N9" s="4">
        <v>48.5</v>
      </c>
      <c r="O9" s="2"/>
      <c r="P9" s="2"/>
    </row>
    <row r="10" spans="1:16">
      <c r="A10" s="2" t="s">
        <v>68</v>
      </c>
      <c r="B10" s="2" t="s">
        <v>61</v>
      </c>
      <c r="C10" s="2">
        <v>1</v>
      </c>
      <c r="D10" s="2" t="s">
        <v>47</v>
      </c>
      <c r="E10" s="2">
        <v>1</v>
      </c>
      <c r="F10" s="2">
        <v>749</v>
      </c>
      <c r="G10" s="4">
        <v>17.6348973836187</v>
      </c>
      <c r="H10" s="4">
        <v>61.4605170918894</v>
      </c>
      <c r="I10" s="4">
        <v>0.94908874455085002</v>
      </c>
      <c r="J10" s="4">
        <v>3.0004213115314098</v>
      </c>
      <c r="K10" s="3">
        <v>0</v>
      </c>
      <c r="L10" s="3">
        <v>0.59799999999999998</v>
      </c>
      <c r="M10" s="2">
        <v>0</v>
      </c>
      <c r="N10" s="4">
        <v>40</v>
      </c>
      <c r="O10" s="2"/>
      <c r="P10" s="2"/>
    </row>
    <row r="11" spans="1:16">
      <c r="A11" s="2" t="s">
        <v>68</v>
      </c>
      <c r="B11" s="2" t="s">
        <v>61</v>
      </c>
      <c r="C11" s="2">
        <v>99</v>
      </c>
      <c r="D11" s="2" t="s">
        <v>47</v>
      </c>
      <c r="E11" s="2">
        <v>1</v>
      </c>
      <c r="F11" s="2">
        <v>998</v>
      </c>
      <c r="G11" s="4">
        <v>144.320483831243</v>
      </c>
      <c r="H11" s="4">
        <v>63.757714342224403</v>
      </c>
      <c r="I11" s="4">
        <v>0.95757395379237498</v>
      </c>
      <c r="J11" s="4">
        <v>2.49005395904405</v>
      </c>
      <c r="K11" s="3">
        <v>0</v>
      </c>
      <c r="L11" s="3">
        <v>0.59799999999999998</v>
      </c>
      <c r="M11" s="2">
        <v>0</v>
      </c>
      <c r="N11" s="4">
        <v>43.75</v>
      </c>
      <c r="O11" s="2"/>
      <c r="P11" s="2"/>
    </row>
    <row r="12" spans="1:16">
      <c r="A12" s="2" t="s">
        <v>69</v>
      </c>
      <c r="B12" s="2" t="s">
        <v>61</v>
      </c>
      <c r="C12" s="2">
        <v>1</v>
      </c>
      <c r="D12" s="2" t="s">
        <v>47</v>
      </c>
      <c r="E12" s="2">
        <v>2</v>
      </c>
      <c r="F12" s="2">
        <v>719</v>
      </c>
      <c r="G12" s="4">
        <v>13.1847664441392</v>
      </c>
      <c r="H12" s="4">
        <v>98.951199658892406</v>
      </c>
      <c r="I12" s="4">
        <v>1.0169704184830499</v>
      </c>
      <c r="J12" s="4">
        <v>3.2204446291294402</v>
      </c>
      <c r="K12" s="3">
        <v>0</v>
      </c>
      <c r="L12" s="3">
        <v>0.4</v>
      </c>
      <c r="M12" s="2">
        <v>0</v>
      </c>
      <c r="N12" s="4">
        <v>52.25</v>
      </c>
      <c r="O12" s="2"/>
      <c r="P12" s="2"/>
    </row>
    <row r="13" spans="1:16">
      <c r="A13" s="2" t="s">
        <v>69</v>
      </c>
      <c r="B13" s="2" t="s">
        <v>61</v>
      </c>
      <c r="C13" s="2">
        <v>99</v>
      </c>
      <c r="D13" s="2" t="s">
        <v>47</v>
      </c>
      <c r="E13" s="2">
        <v>2</v>
      </c>
      <c r="F13" s="2">
        <v>1005</v>
      </c>
      <c r="G13" s="4">
        <v>123.09149909428901</v>
      </c>
      <c r="H13" s="4">
        <v>148.57588199664201</v>
      </c>
      <c r="I13" s="4">
        <v>1.15273376634745</v>
      </c>
      <c r="J13" s="4">
        <v>2.9013113707182301</v>
      </c>
      <c r="K13" s="3">
        <v>0</v>
      </c>
      <c r="L13" s="3">
        <v>0.4</v>
      </c>
      <c r="M13" s="2">
        <v>0</v>
      </c>
      <c r="N13" s="4">
        <v>59.75</v>
      </c>
      <c r="O13" s="2"/>
      <c r="P13" s="2"/>
    </row>
    <row r="14" spans="1:16">
      <c r="A14" s="2" t="s">
        <v>70</v>
      </c>
      <c r="B14" s="2" t="s">
        <v>61</v>
      </c>
      <c r="C14" s="2">
        <v>1</v>
      </c>
      <c r="D14" s="2" t="s">
        <v>43</v>
      </c>
      <c r="E14" s="2">
        <v>3</v>
      </c>
      <c r="F14" s="2">
        <v>785</v>
      </c>
      <c r="G14" s="4">
        <v>13.1847664441392</v>
      </c>
      <c r="H14" s="4">
        <v>98.951199658892406</v>
      </c>
      <c r="I14" s="4">
        <v>0.95757395379237498</v>
      </c>
      <c r="J14" s="4">
        <v>3.2204446291294402</v>
      </c>
      <c r="K14" s="3">
        <v>0</v>
      </c>
      <c r="L14" s="3">
        <v>0</v>
      </c>
      <c r="M14" s="2">
        <v>1</v>
      </c>
      <c r="N14" s="4">
        <v>40.25</v>
      </c>
      <c r="O14" s="2"/>
      <c r="P14" s="2"/>
    </row>
    <row r="15" spans="1:16">
      <c r="A15" s="2" t="s">
        <v>70</v>
      </c>
      <c r="B15" s="2" t="s">
        <v>61</v>
      </c>
      <c r="C15" s="2">
        <v>99</v>
      </c>
      <c r="D15" s="2" t="s">
        <v>43</v>
      </c>
      <c r="E15" s="2">
        <v>3</v>
      </c>
      <c r="F15" s="2">
        <v>998</v>
      </c>
      <c r="G15" s="4">
        <v>113.17336332279601</v>
      </c>
      <c r="H15" s="4">
        <v>136.72925502905099</v>
      </c>
      <c r="I15" s="4">
        <v>0.95757395379237498</v>
      </c>
      <c r="J15" s="4">
        <v>2.96664077188953</v>
      </c>
      <c r="K15" s="3">
        <v>0</v>
      </c>
      <c r="L15" s="3">
        <v>0</v>
      </c>
      <c r="M15" s="2">
        <v>1</v>
      </c>
      <c r="N15" s="4">
        <v>39</v>
      </c>
      <c r="O15" s="2"/>
      <c r="P15" s="2"/>
    </row>
    <row r="16" spans="1:16">
      <c r="A16" s="2" t="s">
        <v>71</v>
      </c>
      <c r="B16" s="2" t="s">
        <v>61</v>
      </c>
      <c r="C16" s="2">
        <v>1</v>
      </c>
      <c r="D16" s="2" t="s">
        <v>43</v>
      </c>
      <c r="E16" s="2">
        <v>1</v>
      </c>
      <c r="F16" s="2">
        <v>742</v>
      </c>
      <c r="G16" s="4">
        <v>11.306609619433599</v>
      </c>
      <c r="H16" s="4">
        <v>81.463699899886905</v>
      </c>
      <c r="I16" s="4">
        <v>1.0169704184830499</v>
      </c>
      <c r="J16" s="4">
        <v>3.1815602323082302</v>
      </c>
      <c r="K16" s="3">
        <v>0</v>
      </c>
      <c r="L16" s="3">
        <v>0.18</v>
      </c>
      <c r="M16" s="2">
        <v>1</v>
      </c>
      <c r="N16" s="4">
        <v>51.75</v>
      </c>
      <c r="O16" s="2"/>
      <c r="P16" s="2"/>
    </row>
    <row r="17" spans="1:16">
      <c r="A17" s="2" t="s">
        <v>71</v>
      </c>
      <c r="B17" s="2" t="s">
        <v>61</v>
      </c>
      <c r="C17" s="2">
        <v>99</v>
      </c>
      <c r="D17" s="2" t="s">
        <v>43</v>
      </c>
      <c r="E17" s="2">
        <v>1</v>
      </c>
      <c r="F17" s="2">
        <v>1004</v>
      </c>
      <c r="G17" s="4">
        <v>113.760844205488</v>
      </c>
      <c r="H17" s="4">
        <v>133.718293796978</v>
      </c>
      <c r="I17" s="4">
        <v>1.09333730165678</v>
      </c>
      <c r="J17" s="4">
        <v>2.9013113707182301</v>
      </c>
      <c r="K17" s="3">
        <v>0</v>
      </c>
      <c r="L17" s="3">
        <v>0.18</v>
      </c>
      <c r="M17" s="2">
        <v>1</v>
      </c>
      <c r="N17" s="4">
        <v>53.5</v>
      </c>
      <c r="O17" s="2"/>
      <c r="P17" s="2"/>
    </row>
    <row r="18" spans="1:16">
      <c r="A18" s="2" t="s">
        <v>72</v>
      </c>
      <c r="B18" s="2" t="s">
        <v>61</v>
      </c>
      <c r="C18" s="2">
        <v>1</v>
      </c>
      <c r="D18" s="2" t="s">
        <v>47</v>
      </c>
      <c r="E18" s="2">
        <v>1</v>
      </c>
      <c r="F18" s="2">
        <v>171</v>
      </c>
      <c r="G18" s="4">
        <v>35.595736194847198</v>
      </c>
      <c r="H18" s="4">
        <v>73.478889245472502</v>
      </c>
      <c r="I18" s="4">
        <v>0.91514790758474995</v>
      </c>
      <c r="J18" s="4">
        <v>2.8697138998703999</v>
      </c>
      <c r="K18" s="3">
        <v>0</v>
      </c>
      <c r="L18" s="3">
        <v>0</v>
      </c>
      <c r="M18" s="2">
        <v>0</v>
      </c>
      <c r="N18" s="4">
        <v>31</v>
      </c>
      <c r="O18" s="2" t="s">
        <v>73</v>
      </c>
      <c r="P18" s="2"/>
    </row>
    <row r="19" spans="1:16">
      <c r="A19" s="2" t="s">
        <v>72</v>
      </c>
      <c r="B19" s="2" t="s">
        <v>61</v>
      </c>
      <c r="C19" s="2">
        <v>99</v>
      </c>
      <c r="D19" s="2" t="s">
        <v>47</v>
      </c>
      <c r="E19" s="2">
        <v>1</v>
      </c>
      <c r="F19" s="2">
        <v>1004</v>
      </c>
      <c r="G19" s="4">
        <v>247.08183164186201</v>
      </c>
      <c r="H19" s="4">
        <v>89.260800079114205</v>
      </c>
      <c r="I19" s="4">
        <v>0.77938455972035003</v>
      </c>
      <c r="J19" s="4">
        <v>2.49005395904405</v>
      </c>
      <c r="K19" s="3">
        <v>0</v>
      </c>
      <c r="L19" s="3">
        <v>0</v>
      </c>
      <c r="M19" s="2">
        <v>0</v>
      </c>
      <c r="N19" s="4">
        <v>35</v>
      </c>
      <c r="O19" s="2"/>
      <c r="P19" s="2"/>
    </row>
    <row r="20" spans="1:16">
      <c r="A20" s="2" t="s">
        <v>74</v>
      </c>
      <c r="B20" s="2" t="s">
        <v>75</v>
      </c>
      <c r="C20" s="2">
        <v>1</v>
      </c>
      <c r="D20" s="2" t="s">
        <v>47</v>
      </c>
      <c r="E20" s="2">
        <v>5</v>
      </c>
      <c r="F20" s="2">
        <v>676</v>
      </c>
      <c r="G20" s="4">
        <v>21.324672855900001</v>
      </c>
      <c r="H20" s="4">
        <v>75.960697238361703</v>
      </c>
      <c r="I20" s="4">
        <v>0.94060353530932495</v>
      </c>
      <c r="J20" s="4">
        <v>2.96664077188953</v>
      </c>
      <c r="K20" s="3">
        <v>0</v>
      </c>
      <c r="L20" s="3">
        <v>0</v>
      </c>
      <c r="M20" s="2">
        <v>0</v>
      </c>
      <c r="N20" s="4">
        <v>44.5</v>
      </c>
      <c r="O20" s="2"/>
      <c r="P20" s="2"/>
    </row>
    <row r="21" spans="1:16">
      <c r="A21" s="2" t="s">
        <v>74</v>
      </c>
      <c r="B21" s="2" t="s">
        <v>75</v>
      </c>
      <c r="C21" s="2">
        <v>99</v>
      </c>
      <c r="D21" s="2" t="s">
        <v>47</v>
      </c>
      <c r="E21" s="2">
        <v>5</v>
      </c>
      <c r="F21" s="2">
        <v>999</v>
      </c>
      <c r="G21" s="4">
        <v>164.78537240914801</v>
      </c>
      <c r="H21" s="4">
        <v>106.01985978387199</v>
      </c>
      <c r="I21" s="4">
        <v>0.91514790758474995</v>
      </c>
      <c r="J21" s="4">
        <v>2.58787479989393</v>
      </c>
      <c r="K21" s="3">
        <v>0</v>
      </c>
      <c r="L21" s="3">
        <v>0</v>
      </c>
      <c r="M21" s="2">
        <v>0</v>
      </c>
      <c r="N21" s="4">
        <v>47.5</v>
      </c>
      <c r="O21" s="2"/>
      <c r="P21" s="2"/>
    </row>
    <row r="22" spans="1:16">
      <c r="A22" s="2" t="s">
        <v>76</v>
      </c>
      <c r="B22" s="2" t="s">
        <v>75</v>
      </c>
      <c r="C22" s="2">
        <v>1</v>
      </c>
      <c r="D22" s="2" t="s">
        <v>43</v>
      </c>
      <c r="E22" s="2">
        <v>4</v>
      </c>
      <c r="F22" s="2">
        <v>824</v>
      </c>
      <c r="G22" s="4">
        <v>10.66287921216</v>
      </c>
      <c r="H22" s="4">
        <v>76.825646364861797</v>
      </c>
      <c r="I22" s="4">
        <v>0.95757395379237498</v>
      </c>
      <c r="J22" s="4">
        <v>3.0004213115314098</v>
      </c>
      <c r="K22" s="3">
        <v>0</v>
      </c>
      <c r="L22" s="3">
        <v>0</v>
      </c>
      <c r="M22" s="2">
        <v>1</v>
      </c>
      <c r="N22" s="4">
        <v>43.75</v>
      </c>
      <c r="O22" s="2"/>
      <c r="P22" s="2"/>
    </row>
    <row r="23" spans="1:16">
      <c r="A23" s="2" t="s">
        <v>76</v>
      </c>
      <c r="B23" s="2" t="s">
        <v>75</v>
      </c>
      <c r="C23" s="2">
        <v>99</v>
      </c>
      <c r="D23" s="2" t="s">
        <v>43</v>
      </c>
      <c r="E23" s="2">
        <v>4</v>
      </c>
      <c r="F23" s="2">
        <v>998</v>
      </c>
      <c r="G23" s="4">
        <v>89.614410068500803</v>
      </c>
      <c r="H23" s="4">
        <v>111.494904442772</v>
      </c>
      <c r="I23" s="4">
        <v>0.95757395379237498</v>
      </c>
      <c r="J23" s="4">
        <v>2.7215170262649599</v>
      </c>
      <c r="K23" s="3">
        <v>0</v>
      </c>
      <c r="L23" s="3">
        <v>0</v>
      </c>
      <c r="M23" s="2">
        <v>1</v>
      </c>
      <c r="N23" s="4">
        <v>42.75</v>
      </c>
      <c r="O23" s="2"/>
      <c r="P23" s="2"/>
    </row>
    <row r="24" spans="1:16">
      <c r="A24" s="2" t="s">
        <v>77</v>
      </c>
      <c r="B24" s="2" t="s">
        <v>75</v>
      </c>
      <c r="C24" s="2">
        <v>1</v>
      </c>
      <c r="D24" s="2" t="s">
        <v>43</v>
      </c>
      <c r="E24" s="2">
        <v>3</v>
      </c>
      <c r="F24" s="2">
        <v>786</v>
      </c>
      <c r="G24" s="4">
        <v>10.438258733237699</v>
      </c>
      <c r="H24" s="4">
        <v>122.95683634907</v>
      </c>
      <c r="I24" s="4">
        <v>0.97454437227542501</v>
      </c>
      <c r="J24" s="4">
        <v>3.43005167857747</v>
      </c>
      <c r="K24" s="3">
        <v>0</v>
      </c>
      <c r="L24" s="3">
        <v>0</v>
      </c>
      <c r="M24" s="2">
        <v>1</v>
      </c>
      <c r="N24" s="4">
        <v>48</v>
      </c>
      <c r="O24" s="2"/>
      <c r="P24" s="2"/>
    </row>
    <row r="25" spans="1:16">
      <c r="A25" s="2" t="s">
        <v>77</v>
      </c>
      <c r="B25" s="2" t="s">
        <v>75</v>
      </c>
      <c r="C25" s="2">
        <v>99</v>
      </c>
      <c r="D25" s="2" t="s">
        <v>43</v>
      </c>
      <c r="E25" s="2">
        <v>3</v>
      </c>
      <c r="F25" s="2">
        <v>1000</v>
      </c>
      <c r="G25" s="4">
        <v>105.31539517136601</v>
      </c>
      <c r="H25" s="4">
        <v>169.050878576027</v>
      </c>
      <c r="I25" s="4">
        <v>0.95757395379237498</v>
      </c>
      <c r="J25" s="4">
        <v>3.3011362924543701</v>
      </c>
      <c r="K25" s="3">
        <v>0</v>
      </c>
      <c r="L25" s="3">
        <v>0</v>
      </c>
      <c r="M25" s="2">
        <v>1</v>
      </c>
      <c r="N25" s="4">
        <v>48.25</v>
      </c>
      <c r="O25" s="2"/>
      <c r="P25" s="2"/>
    </row>
    <row r="26" spans="1:16">
      <c r="A26" s="2" t="s">
        <v>78</v>
      </c>
      <c r="B26" s="2" t="s">
        <v>75</v>
      </c>
      <c r="C26" s="2">
        <v>1</v>
      </c>
      <c r="D26" s="2" t="s">
        <v>43</v>
      </c>
      <c r="E26" s="2">
        <v>4</v>
      </c>
      <c r="F26" s="2">
        <v>989</v>
      </c>
      <c r="G26" s="4">
        <v>2.3150885447129301</v>
      </c>
      <c r="H26" s="4">
        <v>0</v>
      </c>
      <c r="I26" s="4">
        <v>0.95757395379237498</v>
      </c>
      <c r="J26" s="4">
        <v>3.2602912609346602</v>
      </c>
      <c r="K26" s="3">
        <v>0</v>
      </c>
      <c r="L26" s="3">
        <v>0.2</v>
      </c>
      <c r="M26" s="2">
        <v>1</v>
      </c>
      <c r="N26" s="4">
        <v>49</v>
      </c>
      <c r="O26" s="2"/>
      <c r="P26" s="2"/>
    </row>
    <row r="27" spans="1:16">
      <c r="A27" s="2" t="s">
        <v>78</v>
      </c>
      <c r="B27" s="2" t="s">
        <v>75</v>
      </c>
      <c r="C27" s="2">
        <v>99</v>
      </c>
      <c r="D27" s="2" t="s">
        <v>43</v>
      </c>
      <c r="E27" s="2">
        <v>4</v>
      </c>
      <c r="F27" s="2">
        <v>1000</v>
      </c>
      <c r="G27" s="4">
        <v>16.3322212225751</v>
      </c>
      <c r="H27" s="4">
        <v>0</v>
      </c>
      <c r="I27" s="4">
        <v>0.97454437227542501</v>
      </c>
      <c r="J27" s="4">
        <v>3.10654201200175</v>
      </c>
      <c r="K27" s="3">
        <v>0</v>
      </c>
      <c r="L27" s="3">
        <v>0.2</v>
      </c>
      <c r="M27" s="2">
        <v>1</v>
      </c>
      <c r="N27" s="4">
        <v>49.75</v>
      </c>
      <c r="O27" s="2"/>
      <c r="P27" s="2"/>
    </row>
    <row r="28" spans="1:16">
      <c r="A28" s="2" t="s">
        <v>79</v>
      </c>
      <c r="B28" s="2" t="s">
        <v>75</v>
      </c>
      <c r="C28" s="2">
        <v>1</v>
      </c>
      <c r="D28" s="2" t="s">
        <v>47</v>
      </c>
      <c r="E28" s="2">
        <v>5</v>
      </c>
      <c r="F28" s="2">
        <v>875</v>
      </c>
      <c r="G28" s="4">
        <v>8.1973960003071902</v>
      </c>
      <c r="H28" s="4">
        <v>41.383169806535598</v>
      </c>
      <c r="I28" s="4">
        <v>0.94060353530932495</v>
      </c>
      <c r="J28" s="4">
        <v>2.6936956277282</v>
      </c>
      <c r="K28" s="3">
        <v>0</v>
      </c>
      <c r="L28" s="3">
        <v>0.4</v>
      </c>
      <c r="M28" s="2">
        <v>0</v>
      </c>
      <c r="N28" s="4">
        <v>48.5</v>
      </c>
      <c r="O28" s="2"/>
      <c r="P28" s="2"/>
    </row>
    <row r="29" spans="1:16">
      <c r="A29" s="2" t="s">
        <v>79</v>
      </c>
      <c r="B29" s="2" t="s">
        <v>75</v>
      </c>
      <c r="C29" s="2">
        <v>99</v>
      </c>
      <c r="D29" s="2" t="s">
        <v>47</v>
      </c>
      <c r="E29" s="2">
        <v>5</v>
      </c>
      <c r="F29" s="2">
        <v>1001</v>
      </c>
      <c r="G29" s="4">
        <v>72.580794139004098</v>
      </c>
      <c r="H29" s="4">
        <v>58.252865105710796</v>
      </c>
      <c r="I29" s="4">
        <v>0.91514790758474995</v>
      </c>
      <c r="J29" s="4">
        <v>2.2750623807427002</v>
      </c>
      <c r="K29" s="3">
        <v>0</v>
      </c>
      <c r="L29" s="3">
        <v>0.4</v>
      </c>
      <c r="M29" s="2">
        <v>0</v>
      </c>
      <c r="N29" s="4">
        <v>47.75</v>
      </c>
      <c r="O29" s="2"/>
      <c r="P29" s="2"/>
    </row>
    <row r="30" spans="1:16">
      <c r="A30" s="2" t="s">
        <v>80</v>
      </c>
      <c r="B30" s="2" t="s">
        <v>75</v>
      </c>
      <c r="C30" s="2">
        <v>1</v>
      </c>
      <c r="D30" s="2" t="s">
        <v>47</v>
      </c>
      <c r="E30" s="2">
        <v>4</v>
      </c>
      <c r="F30" s="2">
        <v>770</v>
      </c>
      <c r="G30" s="4">
        <v>6.8210070593419498</v>
      </c>
      <c r="H30" s="4">
        <v>263.869865757046</v>
      </c>
      <c r="I30" s="4">
        <v>0.93211832606779998</v>
      </c>
      <c r="J30" s="4">
        <v>3.2204446291294402</v>
      </c>
      <c r="K30" s="3">
        <v>0</v>
      </c>
      <c r="L30" s="3">
        <v>0</v>
      </c>
      <c r="M30" s="2">
        <v>0</v>
      </c>
      <c r="N30" s="4">
        <v>43</v>
      </c>
      <c r="O30" s="2"/>
      <c r="P30" s="2"/>
    </row>
    <row r="31" spans="1:16">
      <c r="A31" s="2" t="s">
        <v>80</v>
      </c>
      <c r="B31" s="2" t="s">
        <v>75</v>
      </c>
      <c r="C31" s="2">
        <v>99</v>
      </c>
      <c r="D31" s="2" t="s">
        <v>47</v>
      </c>
      <c r="E31" s="2">
        <v>4</v>
      </c>
      <c r="F31" s="2">
        <v>999</v>
      </c>
      <c r="G31" s="4">
        <v>66.203349364773501</v>
      </c>
      <c r="H31" s="4">
        <v>353.39797327836402</v>
      </c>
      <c r="I31" s="4">
        <v>0.91514790758474995</v>
      </c>
      <c r="J31" s="4">
        <v>3.0004213115314098</v>
      </c>
      <c r="K31" s="3">
        <v>0</v>
      </c>
      <c r="L31" s="3">
        <v>0</v>
      </c>
      <c r="M31" s="2">
        <v>0</v>
      </c>
      <c r="N31" s="4">
        <v>47.5</v>
      </c>
      <c r="O31" s="2"/>
      <c r="P31" s="2"/>
    </row>
    <row r="32" spans="1:16">
      <c r="A32" s="2" t="s">
        <v>7</v>
      </c>
      <c r="B32" s="2" t="s">
        <v>0</v>
      </c>
      <c r="C32" s="2">
        <v>1</v>
      </c>
      <c r="D32" s="2" t="s">
        <v>43</v>
      </c>
      <c r="E32" s="2">
        <v>3</v>
      </c>
      <c r="F32" s="2">
        <v>1000</v>
      </c>
      <c r="G32" s="4">
        <v>35.429517421222599</v>
      </c>
      <c r="H32" s="4">
        <v>180.347899370726</v>
      </c>
      <c r="I32" s="4">
        <v>0.94908874455085002</v>
      </c>
      <c r="J32" s="4">
        <v>3.52173854933775</v>
      </c>
      <c r="K32" s="3">
        <v>9.7000000000000003E-3</v>
      </c>
      <c r="L32" s="3">
        <v>0.02</v>
      </c>
      <c r="M32" s="2">
        <v>1</v>
      </c>
      <c r="N32" s="4">
        <v>59.5</v>
      </c>
      <c r="O32" s="2"/>
      <c r="P32" s="2" t="s">
        <v>9</v>
      </c>
    </row>
    <row r="33" spans="1:16">
      <c r="A33" s="2" t="s">
        <v>7</v>
      </c>
      <c r="B33" s="2" t="s">
        <v>0</v>
      </c>
      <c r="C33" s="2">
        <v>99</v>
      </c>
      <c r="D33" s="2" t="s">
        <v>43</v>
      </c>
      <c r="E33" s="2">
        <v>3</v>
      </c>
      <c r="F33" s="2">
        <v>1000</v>
      </c>
      <c r="G33" s="4">
        <v>120.573390578285</v>
      </c>
      <c r="H33" s="4">
        <v>113.443604734377</v>
      </c>
      <c r="I33" s="4">
        <v>0.92363311682627502</v>
      </c>
      <c r="J33" s="4">
        <v>2.9936037990934001</v>
      </c>
      <c r="K33" s="3">
        <v>9.7000000000000003E-3</v>
      </c>
      <c r="L33" s="3">
        <v>0.02</v>
      </c>
      <c r="M33" s="2">
        <v>1</v>
      </c>
      <c r="N33" s="4">
        <v>48.75</v>
      </c>
      <c r="O33" s="2"/>
      <c r="P33" s="2" t="s">
        <v>9</v>
      </c>
    </row>
    <row r="34" spans="1:16">
      <c r="A34" s="2" t="s">
        <v>10</v>
      </c>
      <c r="B34" s="2" t="s">
        <v>0</v>
      </c>
      <c r="C34" s="2">
        <v>1</v>
      </c>
      <c r="D34" s="2" t="s">
        <v>43</v>
      </c>
      <c r="E34" s="2">
        <v>2</v>
      </c>
      <c r="F34" s="2">
        <v>1000</v>
      </c>
      <c r="G34" s="4">
        <v>37.520385631850303</v>
      </c>
      <c r="H34" s="4">
        <v>220.10134859753401</v>
      </c>
      <c r="I34" s="4">
        <v>0.99151479075847504</v>
      </c>
      <c r="J34" s="4">
        <v>3.46614751187172</v>
      </c>
      <c r="K34" s="3">
        <v>6.88E-2</v>
      </c>
      <c r="L34" s="3">
        <v>7.0000000000000007E-2</v>
      </c>
      <c r="M34" s="2">
        <v>1</v>
      </c>
      <c r="N34" s="4">
        <v>71</v>
      </c>
      <c r="O34" s="2"/>
      <c r="P34" s="2" t="s">
        <v>12</v>
      </c>
    </row>
    <row r="35" spans="1:16">
      <c r="A35" s="2" t="s">
        <v>10</v>
      </c>
      <c r="B35" s="2" t="s">
        <v>0</v>
      </c>
      <c r="C35" s="2">
        <v>99</v>
      </c>
      <c r="D35" s="2" t="s">
        <v>43</v>
      </c>
      <c r="E35" s="2">
        <v>2</v>
      </c>
      <c r="F35" s="2">
        <v>1000</v>
      </c>
      <c r="G35" s="4">
        <v>149.77861876040501</v>
      </c>
      <c r="H35" s="4">
        <v>117.68566965497099</v>
      </c>
      <c r="I35" s="4">
        <v>1.0169704184830499</v>
      </c>
      <c r="J35" s="4">
        <v>2.8025653843290299</v>
      </c>
      <c r="K35" s="3">
        <v>6.88E-2</v>
      </c>
      <c r="L35" s="3">
        <v>7.0000000000000007E-2</v>
      </c>
      <c r="M35" s="2">
        <v>1</v>
      </c>
      <c r="N35" s="4">
        <v>62.5</v>
      </c>
      <c r="O35" s="2"/>
      <c r="P35" s="2" t="s">
        <v>12</v>
      </c>
    </row>
    <row r="36" spans="1:16">
      <c r="A36" s="2" t="s">
        <v>13</v>
      </c>
      <c r="B36" s="2" t="s">
        <v>0</v>
      </c>
      <c r="C36" s="2">
        <v>1</v>
      </c>
      <c r="D36" s="2" t="s">
        <v>43</v>
      </c>
      <c r="E36" s="2">
        <v>1</v>
      </c>
      <c r="F36" s="2">
        <v>1000</v>
      </c>
      <c r="G36" s="4">
        <v>27.591088805513099</v>
      </c>
      <c r="H36" s="4">
        <v>261.90774997770399</v>
      </c>
      <c r="I36" s="4">
        <v>1.05091125544915</v>
      </c>
      <c r="J36" s="4">
        <v>3.5030111272118201</v>
      </c>
      <c r="K36" s="3">
        <v>6.08E-2</v>
      </c>
      <c r="L36" s="3">
        <v>0.06</v>
      </c>
      <c r="M36" s="2">
        <v>1</v>
      </c>
      <c r="N36" s="4">
        <v>69</v>
      </c>
      <c r="O36" s="2"/>
      <c r="P36" s="2" t="s">
        <v>15</v>
      </c>
    </row>
    <row r="37" spans="1:16">
      <c r="A37" s="2" t="s">
        <v>13</v>
      </c>
      <c r="B37" s="2" t="s">
        <v>0</v>
      </c>
      <c r="C37" s="2">
        <v>99</v>
      </c>
      <c r="D37" s="2" t="s">
        <v>43</v>
      </c>
      <c r="E37" s="2">
        <v>1</v>
      </c>
      <c r="F37" s="2">
        <v>1000</v>
      </c>
      <c r="G37" s="4">
        <v>117.633260683114</v>
      </c>
      <c r="H37" s="4">
        <v>206.39826699734601</v>
      </c>
      <c r="I37" s="4">
        <v>1.1018225108983</v>
      </c>
      <c r="J37" s="4">
        <v>2.9206060673235701</v>
      </c>
      <c r="K37" s="3">
        <v>6.08E-2</v>
      </c>
      <c r="L37" s="3">
        <v>0.06</v>
      </c>
      <c r="M37" s="2">
        <v>1</v>
      </c>
      <c r="N37" s="4">
        <v>61.5</v>
      </c>
      <c r="O37" s="2"/>
      <c r="P37" s="2" t="s">
        <v>15</v>
      </c>
    </row>
    <row r="38" spans="1:16">
      <c r="A38" s="2" t="s">
        <v>16</v>
      </c>
      <c r="B38" s="2" t="s">
        <v>0</v>
      </c>
      <c r="C38" s="2">
        <v>1</v>
      </c>
      <c r="D38" s="2" t="s">
        <v>47</v>
      </c>
      <c r="E38" s="2">
        <v>4</v>
      </c>
      <c r="F38" s="2">
        <v>1000</v>
      </c>
      <c r="G38" s="4">
        <v>58.631671475228501</v>
      </c>
      <c r="H38" s="4">
        <v>228.65051561157401</v>
      </c>
      <c r="I38" s="4">
        <v>0.96605916303390005</v>
      </c>
      <c r="J38" s="4">
        <v>3.18926180995147</v>
      </c>
      <c r="K38" s="3">
        <v>0.12770000000000001</v>
      </c>
      <c r="L38" s="3">
        <v>0.13</v>
      </c>
      <c r="M38" s="2">
        <v>0</v>
      </c>
      <c r="N38" s="4">
        <v>74.5</v>
      </c>
      <c r="O38" s="2"/>
      <c r="P38" s="2" t="s">
        <v>18</v>
      </c>
    </row>
    <row r="39" spans="1:16">
      <c r="A39" s="2" t="s">
        <v>16</v>
      </c>
      <c r="B39" s="2" t="s">
        <v>0</v>
      </c>
      <c r="C39" s="2">
        <v>99</v>
      </c>
      <c r="D39" s="2" t="s">
        <v>47</v>
      </c>
      <c r="E39" s="2">
        <v>4</v>
      </c>
      <c r="F39" s="2">
        <v>1000</v>
      </c>
      <c r="G39" s="4">
        <v>144.12958915215299</v>
      </c>
      <c r="H39" s="4">
        <v>140.47631421363101</v>
      </c>
      <c r="I39" s="4">
        <v>0.97454437227542501</v>
      </c>
      <c r="J39" s="4">
        <v>2.58787479989393</v>
      </c>
      <c r="K39" s="3">
        <v>0.12770000000000001</v>
      </c>
      <c r="L39" s="3">
        <v>0.13</v>
      </c>
      <c r="M39" s="2">
        <v>0</v>
      </c>
      <c r="N39" s="4">
        <v>65.25</v>
      </c>
      <c r="O39" s="2"/>
      <c r="P39" s="2" t="s">
        <v>18</v>
      </c>
    </row>
    <row r="40" spans="1:16">
      <c r="A40" s="2" t="s">
        <v>19</v>
      </c>
      <c r="B40" s="2" t="s">
        <v>0</v>
      </c>
      <c r="C40" s="2">
        <v>1</v>
      </c>
      <c r="D40" s="2" t="s">
        <v>47</v>
      </c>
      <c r="E40" s="2">
        <v>3</v>
      </c>
      <c r="F40" s="2">
        <v>1000</v>
      </c>
      <c r="G40" s="4">
        <v>79.891690418182407</v>
      </c>
      <c r="H40" s="4">
        <v>354.49130983866502</v>
      </c>
      <c r="I40" s="4">
        <v>0.94908874455085002</v>
      </c>
      <c r="J40" s="4">
        <v>3.20477736831223</v>
      </c>
      <c r="K40" s="3">
        <v>2.0799999999999999E-2</v>
      </c>
      <c r="L40" s="3">
        <v>0.02</v>
      </c>
      <c r="M40" s="2">
        <v>0</v>
      </c>
      <c r="N40" s="4">
        <v>68</v>
      </c>
      <c r="O40" s="2"/>
      <c r="P40" s="2" t="s">
        <v>21</v>
      </c>
    </row>
    <row r="41" spans="1:16">
      <c r="A41" s="2" t="s">
        <v>19</v>
      </c>
      <c r="B41" s="2" t="s">
        <v>0</v>
      </c>
      <c r="C41" s="2">
        <v>99</v>
      </c>
      <c r="D41" s="2" t="s">
        <v>47</v>
      </c>
      <c r="E41" s="2">
        <v>3</v>
      </c>
      <c r="F41" s="2">
        <v>1000</v>
      </c>
      <c r="G41" s="4">
        <v>188.42607103327899</v>
      </c>
      <c r="H41" s="4">
        <v>181.373425590566</v>
      </c>
      <c r="I41" s="4">
        <v>0.87272186137712504</v>
      </c>
      <c r="J41" s="4">
        <v>2.4258660848270601</v>
      </c>
      <c r="K41" s="3">
        <v>2.0799999999999999E-2</v>
      </c>
      <c r="L41" s="3">
        <v>0.02</v>
      </c>
      <c r="M41" s="2">
        <v>0</v>
      </c>
      <c r="N41" s="4">
        <v>56.75</v>
      </c>
      <c r="O41" s="2"/>
      <c r="P41" s="2" t="s">
        <v>21</v>
      </c>
    </row>
    <row r="42" spans="1:16">
      <c r="A42" s="2" t="s">
        <v>22</v>
      </c>
      <c r="B42" s="2" t="s">
        <v>0</v>
      </c>
      <c r="C42" s="2">
        <v>1</v>
      </c>
      <c r="D42" s="2" t="s">
        <v>47</v>
      </c>
      <c r="E42" s="2">
        <v>2</v>
      </c>
      <c r="F42" s="2">
        <v>1000</v>
      </c>
      <c r="G42" s="4">
        <v>79.339216740466298</v>
      </c>
      <c r="H42" s="4">
        <v>370.80123755925501</v>
      </c>
      <c r="I42" s="4">
        <v>1.0169704184830499</v>
      </c>
      <c r="J42" s="4">
        <v>3.4480051294801202</v>
      </c>
      <c r="K42" s="3">
        <v>5.2600000000000001E-2</v>
      </c>
      <c r="L42" s="3">
        <v>0.05</v>
      </c>
      <c r="M42" s="2">
        <v>0</v>
      </c>
      <c r="N42" s="4">
        <v>74.25</v>
      </c>
      <c r="O42" s="2"/>
      <c r="P42" s="2" t="s">
        <v>24</v>
      </c>
    </row>
    <row r="43" spans="1:16">
      <c r="A43" s="2" t="s">
        <v>22</v>
      </c>
      <c r="B43" s="2" t="s">
        <v>0</v>
      </c>
      <c r="C43" s="2">
        <v>99</v>
      </c>
      <c r="D43" s="2" t="s">
        <v>47</v>
      </c>
      <c r="E43" s="2">
        <v>2</v>
      </c>
      <c r="F43" s="2">
        <v>1000</v>
      </c>
      <c r="G43" s="4">
        <v>192.291849527186</v>
      </c>
      <c r="H43" s="4">
        <v>208.545735011912</v>
      </c>
      <c r="I43" s="4">
        <v>1.18667460331355</v>
      </c>
      <c r="J43" s="4">
        <v>2.5138092557789</v>
      </c>
      <c r="K43" s="3">
        <v>5.2600000000000001E-2</v>
      </c>
      <c r="L43" s="3">
        <v>0.05</v>
      </c>
      <c r="M43" s="2">
        <v>0</v>
      </c>
      <c r="N43" s="4">
        <v>71.75</v>
      </c>
      <c r="O43" s="2"/>
      <c r="P43" s="2" t="s">
        <v>24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
  <sheetViews>
    <sheetView showGridLines="0" zoomScaleNormal="100" workbookViewId="0">
      <pane ySplit="1" topLeftCell="A2" activePane="bottomLeft" state="frozen"/>
      <selection pane="bottomLeft"/>
    </sheetView>
  </sheetViews>
  <sheetFormatPr defaultColWidth="8.7109375" defaultRowHeight="15"/>
  <cols>
    <col min="1" max="1" width="18" customWidth="1"/>
    <col min="2" max="2" width="14" customWidth="1"/>
    <col min="3" max="3" width="8" customWidth="1"/>
    <col min="4" max="4" width="10" customWidth="1"/>
    <col min="5" max="5" width="9" customWidth="1"/>
    <col min="6" max="6" width="10" customWidth="1"/>
    <col min="7" max="7" width="16" customWidth="1"/>
    <col min="8" max="8" width="18" customWidth="1"/>
    <col min="9" max="9" width="16" customWidth="1"/>
    <col min="10" max="10" width="15" customWidth="1"/>
    <col min="11" max="12" width="16" customWidth="1"/>
    <col min="13" max="13" width="14" customWidth="1"/>
    <col min="14" max="14" width="20" customWidth="1"/>
    <col min="15" max="15" width="42" customWidth="1"/>
    <col min="16" max="16" width="38" customWidth="1"/>
  </cols>
  <sheetData>
    <row r="1" spans="1:16" ht="26.85">
      <c r="A1" s="1" t="s">
        <v>25</v>
      </c>
      <c r="B1" s="1" t="s">
        <v>26</v>
      </c>
      <c r="C1" s="1" t="s">
        <v>48</v>
      </c>
      <c r="D1" s="1" t="s">
        <v>28</v>
      </c>
      <c r="E1" s="1" t="s">
        <v>49</v>
      </c>
      <c r="F1" s="1" t="s">
        <v>50</v>
      </c>
      <c r="G1" s="1" t="s">
        <v>51</v>
      </c>
      <c r="H1" s="1" t="s">
        <v>52</v>
      </c>
      <c r="I1" s="1" t="s">
        <v>53</v>
      </c>
      <c r="J1" s="1" t="s">
        <v>54</v>
      </c>
      <c r="K1" s="1" t="s">
        <v>55</v>
      </c>
      <c r="L1" s="1" t="s">
        <v>56</v>
      </c>
      <c r="M1" s="1" t="s">
        <v>57</v>
      </c>
      <c r="N1" s="1" t="s">
        <v>58</v>
      </c>
      <c r="O1" s="1" t="s">
        <v>59</v>
      </c>
      <c r="P1" s="1" t="s">
        <v>6</v>
      </c>
    </row>
    <row r="2" spans="1:16">
      <c r="A2" s="2" t="s">
        <v>7</v>
      </c>
      <c r="B2" s="2" t="s">
        <v>0</v>
      </c>
      <c r="C2" s="2">
        <v>99</v>
      </c>
      <c r="D2" s="2" t="s">
        <v>43</v>
      </c>
      <c r="E2" s="2">
        <v>3</v>
      </c>
      <c r="F2" s="2">
        <v>1000</v>
      </c>
      <c r="G2" s="4">
        <v>120.573390578285</v>
      </c>
      <c r="H2" s="4">
        <v>113.443604734377</v>
      </c>
      <c r="I2" s="4">
        <v>0.92363311682627502</v>
      </c>
      <c r="J2" s="4">
        <v>2.9936037990934001</v>
      </c>
      <c r="K2" s="3">
        <v>9.7000000000000003E-3</v>
      </c>
      <c r="L2" s="3">
        <v>0.02</v>
      </c>
      <c r="M2" s="2">
        <v>1</v>
      </c>
      <c r="N2" s="4">
        <v>48.75</v>
      </c>
      <c r="O2" s="2"/>
      <c r="P2" s="2" t="s">
        <v>9</v>
      </c>
    </row>
    <row r="3" spans="1:16">
      <c r="A3" s="2" t="s">
        <v>10</v>
      </c>
      <c r="B3" s="2" t="s">
        <v>0</v>
      </c>
      <c r="C3" s="2">
        <v>99</v>
      </c>
      <c r="D3" s="2" t="s">
        <v>43</v>
      </c>
      <c r="E3" s="2">
        <v>2</v>
      </c>
      <c r="F3" s="2">
        <v>1000</v>
      </c>
      <c r="G3" s="4">
        <v>149.77861876040501</v>
      </c>
      <c r="H3" s="4">
        <v>117.68566965497099</v>
      </c>
      <c r="I3" s="4">
        <v>1.0169704184830499</v>
      </c>
      <c r="J3" s="4">
        <v>2.8025653843290299</v>
      </c>
      <c r="K3" s="3">
        <v>6.88E-2</v>
      </c>
      <c r="L3" s="3">
        <v>7.0000000000000007E-2</v>
      </c>
      <c r="M3" s="2">
        <v>1</v>
      </c>
      <c r="N3" s="4">
        <v>62.5</v>
      </c>
      <c r="O3" s="2"/>
      <c r="P3" s="2" t="s">
        <v>12</v>
      </c>
    </row>
    <row r="4" spans="1:16">
      <c r="A4" s="2" t="s">
        <v>13</v>
      </c>
      <c r="B4" s="2" t="s">
        <v>0</v>
      </c>
      <c r="C4" s="2">
        <v>99</v>
      </c>
      <c r="D4" s="2" t="s">
        <v>43</v>
      </c>
      <c r="E4" s="2">
        <v>1</v>
      </c>
      <c r="F4" s="2">
        <v>1000</v>
      </c>
      <c r="G4" s="4">
        <v>117.633260683114</v>
      </c>
      <c r="H4" s="4">
        <v>206.39826699734601</v>
      </c>
      <c r="I4" s="4">
        <v>1.1018225108983</v>
      </c>
      <c r="J4" s="4">
        <v>2.9206060673235701</v>
      </c>
      <c r="K4" s="3">
        <v>6.08E-2</v>
      </c>
      <c r="L4" s="3">
        <v>0.06</v>
      </c>
      <c r="M4" s="2">
        <v>1</v>
      </c>
      <c r="N4" s="4">
        <v>61.5</v>
      </c>
      <c r="O4" s="2"/>
      <c r="P4" s="2" t="s">
        <v>15</v>
      </c>
    </row>
    <row r="5" spans="1:16">
      <c r="A5" s="2" t="s">
        <v>16</v>
      </c>
      <c r="B5" s="2" t="s">
        <v>0</v>
      </c>
      <c r="C5" s="2">
        <v>99</v>
      </c>
      <c r="D5" s="2" t="s">
        <v>47</v>
      </c>
      <c r="E5" s="2">
        <v>4</v>
      </c>
      <c r="F5" s="2">
        <v>1000</v>
      </c>
      <c r="G5" s="4">
        <v>144.12958915215299</v>
      </c>
      <c r="H5" s="4">
        <v>140.47631421363101</v>
      </c>
      <c r="I5" s="4">
        <v>0.97454437227542501</v>
      </c>
      <c r="J5" s="4">
        <v>2.58787479989393</v>
      </c>
      <c r="K5" s="3">
        <v>0.12770000000000001</v>
      </c>
      <c r="L5" s="3">
        <v>0.13</v>
      </c>
      <c r="M5" s="2">
        <v>0</v>
      </c>
      <c r="N5" s="4">
        <v>65.25</v>
      </c>
      <c r="O5" s="2"/>
      <c r="P5" s="2" t="s">
        <v>18</v>
      </c>
    </row>
    <row r="6" spans="1:16">
      <c r="A6" s="2" t="s">
        <v>19</v>
      </c>
      <c r="B6" s="2" t="s">
        <v>0</v>
      </c>
      <c r="C6" s="2">
        <v>99</v>
      </c>
      <c r="D6" s="2" t="s">
        <v>47</v>
      </c>
      <c r="E6" s="2">
        <v>3</v>
      </c>
      <c r="F6" s="2">
        <v>1000</v>
      </c>
      <c r="G6" s="4">
        <v>188.42607103327899</v>
      </c>
      <c r="H6" s="4">
        <v>181.373425590566</v>
      </c>
      <c r="I6" s="4">
        <v>0.87272186137712504</v>
      </c>
      <c r="J6" s="4">
        <v>2.4258660848270601</v>
      </c>
      <c r="K6" s="3">
        <v>2.0799999999999999E-2</v>
      </c>
      <c r="L6" s="3">
        <v>0.02</v>
      </c>
      <c r="M6" s="2">
        <v>0</v>
      </c>
      <c r="N6" s="4">
        <v>56.75</v>
      </c>
      <c r="O6" s="2"/>
      <c r="P6" s="2" t="s">
        <v>21</v>
      </c>
    </row>
    <row r="7" spans="1:16">
      <c r="A7" s="2" t="s">
        <v>22</v>
      </c>
      <c r="B7" s="2" t="s">
        <v>0</v>
      </c>
      <c r="C7" s="2">
        <v>99</v>
      </c>
      <c r="D7" s="2" t="s">
        <v>47</v>
      </c>
      <c r="E7" s="2">
        <v>2</v>
      </c>
      <c r="F7" s="2">
        <v>1000</v>
      </c>
      <c r="G7" s="4">
        <v>192.291849527186</v>
      </c>
      <c r="H7" s="4">
        <v>208.545735011912</v>
      </c>
      <c r="I7" s="4">
        <v>1.18667460331355</v>
      </c>
      <c r="J7" s="4">
        <v>2.5138092557789</v>
      </c>
      <c r="K7" s="3">
        <v>5.2600000000000001E-2</v>
      </c>
      <c r="L7" s="3">
        <v>0.05</v>
      </c>
      <c r="M7" s="2">
        <v>0</v>
      </c>
      <c r="N7" s="4">
        <v>71.75</v>
      </c>
      <c r="O7" s="2"/>
      <c r="P7" s="2" t="s">
        <v>24</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showGridLines="0" zoomScaleNormal="100" workbookViewId="0">
      <pane ySplit="1" topLeftCell="A2" activePane="bottomLeft" state="frozen"/>
      <selection pane="bottomLeft"/>
    </sheetView>
  </sheetViews>
  <sheetFormatPr defaultColWidth="8.7109375" defaultRowHeight="15"/>
  <cols>
    <col min="1" max="1" width="28" customWidth="1"/>
    <col min="2" max="2" width="110" customWidth="1"/>
  </cols>
  <sheetData>
    <row r="1" spans="1:2">
      <c r="A1" s="1" t="s">
        <v>81</v>
      </c>
      <c r="B1" s="1" t="s">
        <v>82</v>
      </c>
    </row>
    <row r="2" spans="1:2">
      <c r="A2" s="2" t="s">
        <v>83</v>
      </c>
      <c r="B2" s="2" t="s">
        <v>84</v>
      </c>
    </row>
    <row r="3" spans="1:2">
      <c r="A3" s="2" t="s">
        <v>85</v>
      </c>
      <c r="B3" s="2" t="s">
        <v>86</v>
      </c>
    </row>
    <row r="4" spans="1:2">
      <c r="A4" s="2" t="s">
        <v>87</v>
      </c>
      <c r="B4" s="2" t="s">
        <v>88</v>
      </c>
    </row>
    <row r="5" spans="1:2" ht="23.85">
      <c r="A5" s="2" t="s">
        <v>89</v>
      </c>
      <c r="B5" s="2" t="s">
        <v>90</v>
      </c>
    </row>
    <row r="6" spans="1:2" ht="23.85">
      <c r="A6" s="2" t="s">
        <v>91</v>
      </c>
      <c r="B6" s="2" t="s">
        <v>92</v>
      </c>
    </row>
    <row r="7" spans="1:2" ht="23.85">
      <c r="A7" s="2" t="s">
        <v>58</v>
      </c>
      <c r="B7" s="2" t="s">
        <v>93</v>
      </c>
    </row>
    <row r="8" spans="1:2" ht="23.85">
      <c r="A8" s="2" t="s">
        <v>94</v>
      </c>
      <c r="B8" s="2" t="s">
        <v>95</v>
      </c>
    </row>
    <row r="9" spans="1:2" ht="23.85">
      <c r="A9" s="2" t="s">
        <v>96</v>
      </c>
      <c r="B9" s="2" t="s">
        <v>97</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6"/>
  <sheetViews>
    <sheetView showGridLines="0" zoomScaleNormal="100" workbookViewId="0">
      <pane ySplit="1" topLeftCell="A2" activePane="bottomLeft" state="frozen"/>
      <selection pane="bottomLeft"/>
    </sheetView>
  </sheetViews>
  <sheetFormatPr defaultColWidth="8.7109375" defaultRowHeight="15"/>
  <cols>
    <col min="1" max="1" width="18" customWidth="1"/>
    <col min="2" max="2" width="13" customWidth="1"/>
    <col min="3" max="3" width="12" customWidth="1"/>
    <col min="4" max="4" width="10" customWidth="1"/>
    <col min="5" max="6" width="8" customWidth="1"/>
    <col min="7" max="7" width="13" customWidth="1"/>
    <col min="8" max="8" width="12" customWidth="1"/>
    <col min="9" max="9" width="24" customWidth="1"/>
    <col min="10" max="10" width="12" customWidth="1"/>
    <col min="11" max="20" width="10" customWidth="1"/>
  </cols>
  <sheetData>
    <row r="1" spans="1:20" ht="26.85">
      <c r="A1" s="1" t="s">
        <v>25</v>
      </c>
      <c r="B1" s="1" t="s">
        <v>26</v>
      </c>
      <c r="C1" s="1" t="s">
        <v>27</v>
      </c>
      <c r="D1" s="1" t="s">
        <v>28</v>
      </c>
      <c r="E1" s="1" t="s">
        <v>29</v>
      </c>
      <c r="F1" s="1" t="s">
        <v>30</v>
      </c>
      <c r="G1" s="1" t="s">
        <v>31</v>
      </c>
      <c r="H1" s="1" t="s">
        <v>32</v>
      </c>
      <c r="I1" s="1" t="s">
        <v>1</v>
      </c>
      <c r="J1" s="1" t="s">
        <v>33</v>
      </c>
      <c r="K1" s="1" t="s">
        <v>34</v>
      </c>
      <c r="L1" s="1" t="s">
        <v>35</v>
      </c>
      <c r="M1" s="1" t="s">
        <v>36</v>
      </c>
      <c r="N1" s="1" t="s">
        <v>37</v>
      </c>
      <c r="O1" s="1" t="s">
        <v>38</v>
      </c>
      <c r="P1" s="1" t="s">
        <v>39</v>
      </c>
      <c r="Q1" s="1" t="s">
        <v>40</v>
      </c>
      <c r="R1" s="1" t="s">
        <v>41</v>
      </c>
      <c r="S1" s="1" t="s">
        <v>4</v>
      </c>
      <c r="T1" s="1" t="s">
        <v>5</v>
      </c>
    </row>
    <row r="2" spans="1:20">
      <c r="A2" s="2" t="s">
        <v>60</v>
      </c>
      <c r="B2" s="2" t="s">
        <v>61</v>
      </c>
      <c r="C2" s="2" t="s">
        <v>45</v>
      </c>
      <c r="D2" s="2" t="s">
        <v>43</v>
      </c>
      <c r="E2" s="2">
        <v>1</v>
      </c>
      <c r="F2" s="2">
        <v>1</v>
      </c>
      <c r="G2" s="2" t="s">
        <v>44</v>
      </c>
      <c r="H2" s="2">
        <v>0</v>
      </c>
      <c r="I2" s="2" t="s">
        <v>45</v>
      </c>
      <c r="J2" s="2">
        <v>0</v>
      </c>
      <c r="K2" s="2">
        <v>16</v>
      </c>
      <c r="L2" s="2">
        <v>30</v>
      </c>
      <c r="M2" s="2">
        <v>40</v>
      </c>
      <c r="N2" s="2">
        <v>2</v>
      </c>
      <c r="O2" s="2">
        <v>67</v>
      </c>
      <c r="P2" s="2">
        <v>60</v>
      </c>
      <c r="Q2" s="2">
        <v>60</v>
      </c>
      <c r="R2" s="2">
        <v>5</v>
      </c>
      <c r="S2" s="2">
        <v>1000</v>
      </c>
      <c r="T2" s="2">
        <v>1000</v>
      </c>
    </row>
    <row r="3" spans="1:20">
      <c r="A3" s="2" t="s">
        <v>63</v>
      </c>
      <c r="B3" s="2" t="s">
        <v>61</v>
      </c>
      <c r="C3" s="2" t="s">
        <v>45</v>
      </c>
      <c r="D3" s="2" t="s">
        <v>43</v>
      </c>
      <c r="E3" s="2">
        <v>1</v>
      </c>
      <c r="F3" s="2">
        <v>1</v>
      </c>
      <c r="G3" s="2" t="s">
        <v>44</v>
      </c>
      <c r="H3" s="2">
        <v>0</v>
      </c>
      <c r="I3" s="2" t="s">
        <v>98</v>
      </c>
      <c r="J3" s="2">
        <v>120</v>
      </c>
      <c r="K3" s="2">
        <v>16</v>
      </c>
      <c r="L3" s="2">
        <v>10</v>
      </c>
      <c r="M3" s="2">
        <v>5</v>
      </c>
      <c r="N3" s="2">
        <v>4</v>
      </c>
      <c r="O3" s="2">
        <v>60</v>
      </c>
      <c r="P3" s="2">
        <v>10</v>
      </c>
      <c r="Q3" s="2">
        <v>20</v>
      </c>
      <c r="R3" s="2">
        <v>6</v>
      </c>
      <c r="S3" s="2">
        <v>1000</v>
      </c>
      <c r="T3" s="2">
        <v>996</v>
      </c>
    </row>
    <row r="4" spans="1:20">
      <c r="A4" s="2" t="s">
        <v>64</v>
      </c>
      <c r="B4" s="2" t="s">
        <v>61</v>
      </c>
      <c r="C4" s="2" t="s">
        <v>45</v>
      </c>
      <c r="D4" s="2" t="s">
        <v>47</v>
      </c>
      <c r="E4" s="2">
        <v>1</v>
      </c>
      <c r="F4" s="2">
        <v>1</v>
      </c>
      <c r="G4" s="2" t="s">
        <v>44</v>
      </c>
      <c r="H4" s="2">
        <v>0</v>
      </c>
      <c r="I4" s="2" t="s">
        <v>45</v>
      </c>
      <c r="J4" s="2">
        <v>0</v>
      </c>
      <c r="K4" s="2">
        <v>14</v>
      </c>
      <c r="L4" s="2">
        <v>10</v>
      </c>
      <c r="M4" s="2">
        <v>80</v>
      </c>
      <c r="N4" s="2">
        <v>-2</v>
      </c>
      <c r="O4" s="2">
        <v>51</v>
      </c>
      <c r="P4" s="2">
        <v>25</v>
      </c>
      <c r="Q4" s="2">
        <v>120</v>
      </c>
      <c r="R4" s="2">
        <v>-5</v>
      </c>
      <c r="S4" s="2">
        <v>998</v>
      </c>
      <c r="T4" s="2">
        <v>999</v>
      </c>
    </row>
    <row r="5" spans="1:20">
      <c r="A5" s="2" t="s">
        <v>66</v>
      </c>
      <c r="B5" s="2" t="s">
        <v>61</v>
      </c>
      <c r="C5" s="2" t="s">
        <v>45</v>
      </c>
      <c r="D5" s="2" t="s">
        <v>47</v>
      </c>
      <c r="E5" s="2">
        <v>1</v>
      </c>
      <c r="F5" s="2">
        <v>1</v>
      </c>
      <c r="G5" s="2" t="s">
        <v>44</v>
      </c>
      <c r="H5" s="2">
        <v>0</v>
      </c>
      <c r="I5" s="2" t="s">
        <v>45</v>
      </c>
      <c r="J5" s="2">
        <v>0</v>
      </c>
      <c r="K5" s="2">
        <v>21</v>
      </c>
      <c r="L5" s="2">
        <v>80</v>
      </c>
      <c r="M5" s="2">
        <v>65</v>
      </c>
      <c r="N5" s="2">
        <v>2</v>
      </c>
      <c r="O5" s="2">
        <v>86</v>
      </c>
      <c r="P5" s="2">
        <v>135</v>
      </c>
      <c r="Q5" s="2">
        <v>115</v>
      </c>
      <c r="R5" s="2">
        <v>5</v>
      </c>
      <c r="S5" s="2">
        <v>1000</v>
      </c>
      <c r="T5" s="2">
        <v>1001</v>
      </c>
    </row>
    <row r="6" spans="1:20">
      <c r="A6" s="2" t="s">
        <v>68</v>
      </c>
      <c r="B6" s="2" t="s">
        <v>61</v>
      </c>
      <c r="C6" s="2" t="s">
        <v>45</v>
      </c>
      <c r="D6" s="2" t="s">
        <v>47</v>
      </c>
      <c r="E6" s="2">
        <v>1</v>
      </c>
      <c r="F6" s="2">
        <v>1</v>
      </c>
      <c r="G6" s="2" t="s">
        <v>99</v>
      </c>
      <c r="H6" s="2">
        <v>598</v>
      </c>
      <c r="I6" s="2" t="s">
        <v>45</v>
      </c>
      <c r="J6" s="2">
        <v>0</v>
      </c>
      <c r="K6" s="2">
        <v>16</v>
      </c>
      <c r="L6" s="2">
        <v>75</v>
      </c>
      <c r="M6" s="2">
        <v>20</v>
      </c>
      <c r="N6" s="2">
        <v>-1</v>
      </c>
      <c r="O6" s="2">
        <v>70</v>
      </c>
      <c r="P6" s="2">
        <v>165</v>
      </c>
      <c r="Q6" s="2">
        <v>25</v>
      </c>
      <c r="R6" s="2">
        <v>0</v>
      </c>
      <c r="S6" s="2">
        <v>1000</v>
      </c>
      <c r="T6" s="2">
        <v>998</v>
      </c>
    </row>
    <row r="7" spans="1:20">
      <c r="A7" s="2" t="s">
        <v>69</v>
      </c>
      <c r="B7" s="2" t="s">
        <v>61</v>
      </c>
      <c r="C7" s="2" t="s">
        <v>45</v>
      </c>
      <c r="D7" s="2" t="s">
        <v>47</v>
      </c>
      <c r="E7" s="2">
        <v>1</v>
      </c>
      <c r="F7" s="2">
        <v>2</v>
      </c>
      <c r="G7" s="2" t="s">
        <v>100</v>
      </c>
      <c r="H7" s="2">
        <v>400</v>
      </c>
      <c r="I7" s="2" t="s">
        <v>45</v>
      </c>
      <c r="J7" s="2">
        <v>0</v>
      </c>
      <c r="K7" s="2">
        <v>13</v>
      </c>
      <c r="L7" s="2">
        <v>45</v>
      </c>
      <c r="M7" s="2">
        <v>30</v>
      </c>
      <c r="N7" s="2">
        <v>7</v>
      </c>
      <c r="O7" s="2">
        <v>56</v>
      </c>
      <c r="P7" s="2">
        <v>90</v>
      </c>
      <c r="Q7" s="2">
        <v>50</v>
      </c>
      <c r="R7" s="2">
        <v>23</v>
      </c>
      <c r="S7" s="2">
        <v>1001</v>
      </c>
      <c r="T7" s="2">
        <v>1005</v>
      </c>
    </row>
    <row r="8" spans="1:20">
      <c r="A8" s="2" t="s">
        <v>70</v>
      </c>
      <c r="B8" s="2" t="s">
        <v>61</v>
      </c>
      <c r="C8" s="2" t="s">
        <v>45</v>
      </c>
      <c r="D8" s="2" t="s">
        <v>43</v>
      </c>
      <c r="E8" s="2">
        <v>1</v>
      </c>
      <c r="F8" s="2">
        <v>3</v>
      </c>
      <c r="G8" s="2" t="s">
        <v>44</v>
      </c>
      <c r="H8" s="2">
        <v>0</v>
      </c>
      <c r="I8" s="2" t="s">
        <v>45</v>
      </c>
      <c r="J8" s="2">
        <v>0</v>
      </c>
      <c r="K8" s="2">
        <v>13</v>
      </c>
      <c r="L8" s="2">
        <v>45</v>
      </c>
      <c r="M8" s="2">
        <v>30</v>
      </c>
      <c r="N8" s="2">
        <v>0</v>
      </c>
      <c r="O8" s="2">
        <v>52</v>
      </c>
      <c r="P8" s="2">
        <v>80</v>
      </c>
      <c r="Q8" s="2">
        <v>45</v>
      </c>
      <c r="R8" s="2">
        <v>0</v>
      </c>
      <c r="S8" s="2">
        <v>1004</v>
      </c>
      <c r="T8" s="2">
        <v>998</v>
      </c>
    </row>
    <row r="9" spans="1:20">
      <c r="A9" s="2" t="s">
        <v>71</v>
      </c>
      <c r="B9" s="2" t="s">
        <v>61</v>
      </c>
      <c r="C9" s="2" t="s">
        <v>45</v>
      </c>
      <c r="D9" s="2" t="s">
        <v>43</v>
      </c>
      <c r="E9" s="2">
        <v>1</v>
      </c>
      <c r="F9" s="2">
        <v>1</v>
      </c>
      <c r="G9" s="2" t="s">
        <v>44</v>
      </c>
      <c r="H9" s="2">
        <v>0</v>
      </c>
      <c r="I9" s="2" t="s">
        <v>101</v>
      </c>
      <c r="J9" s="2">
        <v>180</v>
      </c>
      <c r="K9" s="2">
        <v>12</v>
      </c>
      <c r="L9" s="2">
        <v>50</v>
      </c>
      <c r="M9" s="2">
        <v>25</v>
      </c>
      <c r="N9" s="2">
        <v>7</v>
      </c>
      <c r="O9" s="2">
        <v>53</v>
      </c>
      <c r="P9" s="2">
        <v>90</v>
      </c>
      <c r="Q9" s="2">
        <v>45</v>
      </c>
      <c r="R9" s="2">
        <v>16</v>
      </c>
      <c r="S9" s="2">
        <v>1000</v>
      </c>
      <c r="T9" s="2">
        <v>1004</v>
      </c>
    </row>
    <row r="10" spans="1:20">
      <c r="A10" s="2" t="s">
        <v>72</v>
      </c>
      <c r="B10" s="2" t="s">
        <v>61</v>
      </c>
      <c r="C10" s="2" t="s">
        <v>45</v>
      </c>
      <c r="D10" s="2" t="s">
        <v>47</v>
      </c>
      <c r="E10" s="2">
        <v>1</v>
      </c>
      <c r="F10" s="2">
        <v>1</v>
      </c>
      <c r="G10" s="2" t="s">
        <v>44</v>
      </c>
      <c r="H10" s="2">
        <v>0</v>
      </c>
      <c r="I10" s="2" t="s">
        <v>45</v>
      </c>
      <c r="J10" s="2">
        <v>0</v>
      </c>
      <c r="K10" s="2">
        <v>25</v>
      </c>
      <c r="L10" s="2">
        <v>95</v>
      </c>
      <c r="M10" s="2">
        <v>25</v>
      </c>
      <c r="N10" s="2">
        <v>-5</v>
      </c>
      <c r="O10" s="2">
        <v>105</v>
      </c>
      <c r="P10" s="2">
        <v>165</v>
      </c>
      <c r="Q10" s="2">
        <v>35</v>
      </c>
      <c r="R10" s="2">
        <v>-21</v>
      </c>
      <c r="S10" s="2">
        <v>1002</v>
      </c>
      <c r="T10" s="2">
        <v>1004</v>
      </c>
    </row>
    <row r="11" spans="1:20">
      <c r="A11" s="2" t="s">
        <v>74</v>
      </c>
      <c r="B11" s="2" t="s">
        <v>75</v>
      </c>
      <c r="C11" s="2" t="s">
        <v>46</v>
      </c>
      <c r="D11" s="2" t="s">
        <v>47</v>
      </c>
      <c r="E11" s="2">
        <v>2</v>
      </c>
      <c r="F11" s="2">
        <v>5</v>
      </c>
      <c r="G11" s="2" t="s">
        <v>44</v>
      </c>
      <c r="H11" s="2">
        <v>0</v>
      </c>
      <c r="I11" s="2" t="s">
        <v>45</v>
      </c>
      <c r="J11" s="2">
        <v>0</v>
      </c>
      <c r="K11" s="2">
        <v>18</v>
      </c>
      <c r="L11" s="2">
        <v>80</v>
      </c>
      <c r="M11" s="2">
        <v>25</v>
      </c>
      <c r="N11" s="2">
        <v>-2</v>
      </c>
      <c r="O11" s="2">
        <v>75</v>
      </c>
      <c r="P11" s="2">
        <v>145</v>
      </c>
      <c r="Q11" s="2">
        <v>40</v>
      </c>
      <c r="R11" s="2">
        <v>-5</v>
      </c>
      <c r="S11" s="2">
        <v>998</v>
      </c>
      <c r="T11" s="2">
        <v>999</v>
      </c>
    </row>
    <row r="12" spans="1:20">
      <c r="A12" s="2" t="s">
        <v>76</v>
      </c>
      <c r="B12" s="2" t="s">
        <v>75</v>
      </c>
      <c r="C12" s="2" t="s">
        <v>42</v>
      </c>
      <c r="D12" s="2" t="s">
        <v>43</v>
      </c>
      <c r="E12" s="2">
        <v>2</v>
      </c>
      <c r="F12" s="2">
        <v>4</v>
      </c>
      <c r="G12" s="2" t="s">
        <v>44</v>
      </c>
      <c r="H12" s="2">
        <v>0</v>
      </c>
      <c r="I12" s="2" t="s">
        <v>45</v>
      </c>
      <c r="J12" s="2">
        <v>0</v>
      </c>
      <c r="K12" s="2">
        <v>12</v>
      </c>
      <c r="L12" s="2">
        <v>75</v>
      </c>
      <c r="M12" s="2">
        <v>25</v>
      </c>
      <c r="N12" s="2">
        <v>0</v>
      </c>
      <c r="O12" s="2">
        <v>47</v>
      </c>
      <c r="P12" s="2">
        <v>120</v>
      </c>
      <c r="Q12" s="2">
        <v>40</v>
      </c>
      <c r="R12" s="2">
        <v>0</v>
      </c>
      <c r="S12" s="2">
        <v>1000</v>
      </c>
      <c r="T12" s="2">
        <v>998</v>
      </c>
    </row>
    <row r="13" spans="1:20">
      <c r="A13" s="2" t="s">
        <v>77</v>
      </c>
      <c r="B13" s="2" t="s">
        <v>75</v>
      </c>
      <c r="C13" s="2" t="s">
        <v>46</v>
      </c>
      <c r="D13" s="2" t="s">
        <v>43</v>
      </c>
      <c r="E13" s="2">
        <v>2</v>
      </c>
      <c r="F13" s="2">
        <v>3</v>
      </c>
      <c r="G13" s="2" t="s">
        <v>44</v>
      </c>
      <c r="H13" s="2">
        <v>0</v>
      </c>
      <c r="I13" s="2" t="s">
        <v>45</v>
      </c>
      <c r="J13" s="2">
        <v>0</v>
      </c>
      <c r="K13" s="2">
        <v>11</v>
      </c>
      <c r="L13" s="2">
        <v>20</v>
      </c>
      <c r="M13" s="2">
        <v>35</v>
      </c>
      <c r="N13" s="2">
        <v>2</v>
      </c>
      <c r="O13" s="2">
        <v>46</v>
      </c>
      <c r="P13" s="2">
        <v>35</v>
      </c>
      <c r="Q13" s="2">
        <v>50</v>
      </c>
      <c r="R13" s="2">
        <v>0</v>
      </c>
      <c r="S13" s="2">
        <v>1001</v>
      </c>
      <c r="T13" s="2">
        <v>1000</v>
      </c>
    </row>
    <row r="14" spans="1:20">
      <c r="A14" s="2" t="s">
        <v>78</v>
      </c>
      <c r="B14" s="2" t="s">
        <v>75</v>
      </c>
      <c r="C14" s="2" t="s">
        <v>42</v>
      </c>
      <c r="D14" s="2" t="s">
        <v>43</v>
      </c>
      <c r="E14" s="2">
        <v>2</v>
      </c>
      <c r="F14" s="2">
        <v>4</v>
      </c>
      <c r="G14" s="2" t="s">
        <v>44</v>
      </c>
      <c r="H14" s="2">
        <v>0</v>
      </c>
      <c r="I14" s="2" t="s">
        <v>102</v>
      </c>
      <c r="J14" s="2">
        <v>200</v>
      </c>
      <c r="K14" s="2">
        <v>5</v>
      </c>
      <c r="L14" s="2">
        <v>40</v>
      </c>
      <c r="M14" s="2">
        <v>0</v>
      </c>
      <c r="N14" s="2">
        <v>0</v>
      </c>
      <c r="O14" s="2">
        <v>15</v>
      </c>
      <c r="P14" s="2">
        <v>60</v>
      </c>
      <c r="Q14" s="2">
        <v>0</v>
      </c>
      <c r="R14" s="2">
        <v>2</v>
      </c>
      <c r="S14" s="2">
        <v>1000</v>
      </c>
      <c r="T14" s="2">
        <v>1000</v>
      </c>
    </row>
    <row r="15" spans="1:20">
      <c r="A15" s="2" t="s">
        <v>79</v>
      </c>
      <c r="B15" s="2" t="s">
        <v>75</v>
      </c>
      <c r="C15" s="2" t="s">
        <v>46</v>
      </c>
      <c r="D15" s="2" t="s">
        <v>47</v>
      </c>
      <c r="E15" s="2">
        <v>3</v>
      </c>
      <c r="F15" s="2">
        <v>5</v>
      </c>
      <c r="G15" s="2" t="s">
        <v>103</v>
      </c>
      <c r="H15" s="2">
        <v>400</v>
      </c>
      <c r="I15" s="2" t="s">
        <v>45</v>
      </c>
      <c r="J15" s="2">
        <v>0</v>
      </c>
      <c r="K15" s="2">
        <v>11</v>
      </c>
      <c r="L15" s="2">
        <v>125</v>
      </c>
      <c r="M15" s="2">
        <v>15</v>
      </c>
      <c r="N15" s="2">
        <v>-2</v>
      </c>
      <c r="O15" s="2">
        <v>46</v>
      </c>
      <c r="P15" s="2">
        <v>215</v>
      </c>
      <c r="Q15" s="2">
        <v>25</v>
      </c>
      <c r="R15" s="2">
        <v>-5</v>
      </c>
      <c r="S15" s="2">
        <v>998</v>
      </c>
      <c r="T15" s="2">
        <v>1001</v>
      </c>
    </row>
    <row r="16" spans="1:20">
      <c r="A16" s="2" t="s">
        <v>80</v>
      </c>
      <c r="B16" s="2" t="s">
        <v>75</v>
      </c>
      <c r="C16" s="2" t="s">
        <v>42</v>
      </c>
      <c r="D16" s="2" t="s">
        <v>47</v>
      </c>
      <c r="E16" s="2">
        <v>2</v>
      </c>
      <c r="F16" s="2">
        <v>4</v>
      </c>
      <c r="G16" s="2" t="s">
        <v>44</v>
      </c>
      <c r="H16" s="2">
        <v>0</v>
      </c>
      <c r="I16" s="2" t="s">
        <v>45</v>
      </c>
      <c r="J16" s="2">
        <v>0</v>
      </c>
      <c r="K16" s="2">
        <v>9</v>
      </c>
      <c r="L16" s="2">
        <v>45</v>
      </c>
      <c r="M16" s="2">
        <v>80</v>
      </c>
      <c r="N16" s="2">
        <v>-3</v>
      </c>
      <c r="O16" s="2">
        <v>36</v>
      </c>
      <c r="P16" s="2">
        <v>75</v>
      </c>
      <c r="Q16" s="2">
        <v>115</v>
      </c>
      <c r="R16" s="2">
        <v>-5</v>
      </c>
      <c r="S16" s="2">
        <v>1000</v>
      </c>
      <c r="T16" s="2">
        <v>999</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
  <sheetViews>
    <sheetView showGridLines="0" zoomScaleNormal="100" workbookViewId="0">
      <pane ySplit="1" topLeftCell="A2" activePane="bottomLeft" state="frozen"/>
      <selection pane="bottomLeft"/>
    </sheetView>
  </sheetViews>
  <sheetFormatPr defaultColWidth="8.7109375" defaultRowHeight="15"/>
  <cols>
    <col min="1" max="1" width="10" customWidth="1"/>
    <col min="2" max="2" width="18" customWidth="1"/>
    <col min="3" max="3" width="14" customWidth="1"/>
    <col min="4" max="4" width="38" customWidth="1"/>
    <col min="5" max="5" width="36" customWidth="1"/>
  </cols>
  <sheetData>
    <row r="1" spans="1:5">
      <c r="A1" s="1" t="s">
        <v>104</v>
      </c>
      <c r="B1" s="1" t="s">
        <v>0</v>
      </c>
      <c r="C1" s="1" t="s">
        <v>105</v>
      </c>
      <c r="D1" s="1" t="s">
        <v>59</v>
      </c>
      <c r="E1" s="1" t="s">
        <v>106</v>
      </c>
    </row>
    <row r="2" spans="1:5">
      <c r="A2" s="2">
        <v>1</v>
      </c>
      <c r="B2" s="2" t="s">
        <v>22</v>
      </c>
      <c r="C2" s="4">
        <v>71.75</v>
      </c>
      <c r="D2" s="2" t="s">
        <v>45</v>
      </c>
      <c r="E2" s="2" t="s">
        <v>107</v>
      </c>
    </row>
    <row r="3" spans="1:5">
      <c r="A3" s="2">
        <v>2</v>
      </c>
      <c r="B3" s="2" t="s">
        <v>16</v>
      </c>
      <c r="C3" s="4">
        <v>65.25</v>
      </c>
      <c r="D3" s="2" t="s">
        <v>45</v>
      </c>
      <c r="E3" s="2" t="s">
        <v>107</v>
      </c>
    </row>
    <row r="4" spans="1:5">
      <c r="A4" s="2">
        <v>3</v>
      </c>
      <c r="B4" s="2" t="s">
        <v>10</v>
      </c>
      <c r="C4" s="4">
        <v>62.5</v>
      </c>
      <c r="D4" s="2" t="s">
        <v>45</v>
      </c>
      <c r="E4" s="2" t="s">
        <v>107</v>
      </c>
    </row>
    <row r="5" spans="1:5">
      <c r="A5" s="2">
        <v>4</v>
      </c>
      <c r="B5" s="2" t="s">
        <v>13</v>
      </c>
      <c r="C5" s="4">
        <v>61.5</v>
      </c>
      <c r="D5" s="2" t="s">
        <v>45</v>
      </c>
      <c r="E5" s="2" t="s">
        <v>107</v>
      </c>
    </row>
    <row r="6" spans="1:5">
      <c r="A6" s="2">
        <v>5</v>
      </c>
      <c r="B6" s="2" t="s">
        <v>19</v>
      </c>
      <c r="C6" s="4">
        <v>56.75</v>
      </c>
      <c r="D6" s="2" t="s">
        <v>45</v>
      </c>
      <c r="E6" s="2" t="s">
        <v>107</v>
      </c>
    </row>
    <row r="7" spans="1:5">
      <c r="A7" s="2">
        <v>6</v>
      </c>
      <c r="B7" s="2" t="s">
        <v>7</v>
      </c>
      <c r="C7" s="4">
        <v>48.75</v>
      </c>
      <c r="D7" s="2" t="s">
        <v>45</v>
      </c>
      <c r="E7" s="2" t="s">
        <v>107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CTRBLXAI Focus Weapons Redesign and Comparison v2</dc:title>
  <dc:subject/>
  <dc:creator>Pilac, Elmer Valdez</dc:creator>
  <cp:keywords/>
  <dc:description/>
  <cp:lastModifiedBy/>
  <cp:revision>0</cp:revision>
  <dcterms:created xsi:type="dcterms:W3CDTF">2026-08-07T18:04:10Z</dcterms:created>
  <dcterms:modified xsi:type="dcterms:W3CDTF">2026-08-19T13:34:25Z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2026-08-08T11:34:27Z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f50f97ed-2b8a-409c-b777-55069f73a58c</vt:lpwstr>
  </property>
  <property fmtid="{D5CDD505-2E9C-101B-9397-08002B2CF9AE}" pid="8" name="MSIP_Label_15394ae5-69af-439d-af88-cb521c31c0c5_ContentBits">
    <vt:lpwstr>0</vt:lpwstr>
  </property>
  <property fmtid="{D5CDD505-2E9C-101B-9397-08002B2CF9AE}" pid="9" name="MSIP_Label_15394ae5-69af-439d-af88-cb521c31c0c5_Tag">
    <vt:lpwstr>10, 3, 0, 2</vt:lpwstr>
  </property>
</Properties>
</file>